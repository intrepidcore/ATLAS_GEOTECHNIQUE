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PROJET_ATLAS_MASTER\atlas\data\xlsx\"/>
    </mc:Choice>
  </mc:AlternateContent>
  <xr:revisionPtr revIDLastSave="0" documentId="13_ncr:1_{E779627E-2F25-48C9-9283-500A572B4FA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 1" sheetId="1" r:id="rId1"/>
    <sheet name=" Sanfatoute AGT passant" sheetId="2" r:id="rId2"/>
    <sheet name="Sanfatoute AGS passant" sheetId="3" r:id="rId3"/>
    <sheet name="Densité" sheetId="4" r:id="rId4"/>
    <sheet name="Limite sanfatoute" sheetId="5" r:id="rId5"/>
    <sheet name="Bleu" sheetId="6" r:id="rId6"/>
    <sheet name="Teneur en eau" sheetId="7" r:id="rId7"/>
    <sheet name="Classification" sheetId="8" r:id="rId8"/>
    <sheet name="AGS Korbongou ALL 1" sheetId="9" r:id="rId9"/>
    <sheet name="AGT Korbongou ALL 1" sheetId="10" r:id="rId10"/>
    <sheet name="AGS Korbongou ALL 1,5" sheetId="11" r:id="rId11"/>
    <sheet name="AGT Korbongou ALL 1,5" sheetId="12" r:id="rId12"/>
    <sheet name="AGS Korbongou ALL 2" sheetId="13" r:id="rId13"/>
    <sheet name="AGT Korbongou 2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14" l="1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" i="14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" i="12"/>
</calcChain>
</file>

<file path=xl/sharedStrings.xml><?xml version="1.0" encoding="utf-8"?>
<sst xmlns="http://schemas.openxmlformats.org/spreadsheetml/2006/main" count="196" uniqueCount="88">
  <si>
    <t>code</t>
  </si>
  <si>
    <t>date</t>
  </si>
  <si>
    <t>source</t>
  </si>
  <si>
    <t>lat</t>
  </si>
  <si>
    <t>lon</t>
  </si>
  <si>
    <t>depth_m</t>
  </si>
  <si>
    <t>passant_80um</t>
  </si>
  <si>
    <t>passant_2mm</t>
  </si>
  <si>
    <t>passant_20mm</t>
  </si>
  <si>
    <t>wl</t>
  </si>
  <si>
    <t>wp</t>
  </si>
  <si>
    <t>vbs</t>
  </si>
  <si>
    <t>gamma_d_max</t>
  </si>
  <si>
    <t>w_opt</t>
  </si>
  <si>
    <t>proctor_type</t>
  </si>
  <si>
    <t>eg</t>
  </si>
  <si>
    <t>laboratory</t>
  </si>
  <si>
    <t>norm</t>
  </si>
  <si>
    <t>Lab C - Sokodé</t>
  </si>
  <si>
    <t>10.3186</t>
  </si>
  <si>
    <t>0.497</t>
  </si>
  <si>
    <t>1.0</t>
  </si>
  <si>
    <t>80.3</t>
  </si>
  <si>
    <t>89.8</t>
  </si>
  <si>
    <t>97.0</t>
  </si>
  <si>
    <t>47.9</t>
  </si>
  <si>
    <t>39.6</t>
  </si>
  <si>
    <t>5.42</t>
  </si>
  <si>
    <t>16.12</t>
  </si>
  <si>
    <t>22.9</t>
  </si>
  <si>
    <t>normal</t>
  </si>
  <si>
    <t>5.33</t>
  </si>
  <si>
    <t>NF P94-051</t>
  </si>
  <si>
    <t>3.4</t>
  </si>
  <si>
    <t>85.4</t>
  </si>
  <si>
    <t>96.2</t>
  </si>
  <si>
    <t>95.5</t>
  </si>
  <si>
    <t>45.5</t>
  </si>
  <si>
    <t>5.27</t>
  </si>
  <si>
    <t>15.74</t>
  </si>
  <si>
    <t>21.2</t>
  </si>
  <si>
    <t>3.88</t>
  </si>
  <si>
    <t xml:space="preserve"> </t>
  </si>
  <si>
    <t xml:space="preserve"> GAMBAGA Inoussa</t>
  </si>
  <si>
    <t>Ouverture du tamis (mm)</t>
  </si>
  <si>
    <t>1m</t>
  </si>
  <si>
    <t>1,5m</t>
  </si>
  <si>
    <t>2m</t>
  </si>
  <si>
    <t>Profondeur</t>
  </si>
  <si>
    <t>WL</t>
  </si>
  <si>
    <t>WP</t>
  </si>
  <si>
    <t>IP</t>
  </si>
  <si>
    <t>Cantons</t>
  </si>
  <si>
    <t>Sanfatoute</t>
  </si>
  <si>
    <t>Moyenne</t>
  </si>
  <si>
    <t>Korbongou</t>
  </si>
  <si>
    <t>Référence</t>
  </si>
  <si>
    <t>Profondeurs(m)</t>
  </si>
  <si>
    <t>Densité; Absolue</t>
  </si>
  <si>
    <t>Caractéristiques</t>
  </si>
  <si>
    <t>VBS</t>
  </si>
  <si>
    <t>Sol argileux</t>
  </si>
  <si>
    <t>Sol limoneux de plasticité moyenne</t>
  </si>
  <si>
    <t>Sol sableux argileux peu plastique</t>
  </si>
  <si>
    <t>Teneur en eau</t>
  </si>
  <si>
    <t>Wl</t>
  </si>
  <si>
    <t>Is</t>
  </si>
  <si>
    <t>Gonflement élevé</t>
  </si>
  <si>
    <t>Gonflement moyen</t>
  </si>
  <si>
    <t>Gonflement faible</t>
  </si>
  <si>
    <t>Canton</t>
  </si>
  <si>
    <t>Profondeur(m)</t>
  </si>
  <si>
    <t xml:space="preserve">Classification HBR </t>
  </si>
  <si>
    <t>A-5</t>
  </si>
  <si>
    <t>A-7-6</t>
  </si>
  <si>
    <t>A-7-5</t>
  </si>
  <si>
    <t>Sol fin, argile peu plasticité</t>
  </si>
  <si>
    <t>Sol fin, limoneux peu plasticité</t>
  </si>
  <si>
    <t>Sol fin, argileux limoneux peu plasticité</t>
  </si>
  <si>
    <t>Classification unifiée</t>
  </si>
  <si>
    <t>Classification d'après le bleu de méthylène</t>
  </si>
  <si>
    <t>A-4</t>
  </si>
  <si>
    <t>A-6</t>
  </si>
  <si>
    <t>Sol grenue, sable argileux peu plasticité</t>
  </si>
  <si>
    <t>Ouverture du tamis(mm)</t>
  </si>
  <si>
    <t>Masse de refus cumulés(g)</t>
  </si>
  <si>
    <t>Refus cumulés (%)</t>
  </si>
  <si>
    <t>Passant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</si>
</sst>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workbookViewId="0">
      <selection activeCell="D4" sqref="D4"/>
    </sheetView>
  </sheetViews>
  <sheetFormatPr baseColWidth="10" defaultRowHeight="15.75" x14ac:dyDescent="0.25"/>
  <cols>
    <col min="1" max="1" width="13.875" customWidth="1"/>
    <col min="2" max="2" width="10.875" customWidth="1"/>
    <col min="3" max="3" width="16.875" customWidth="1"/>
    <col min="4" max="6" width="10.875" customWidth="1"/>
    <col min="7" max="7" width="12.875" customWidth="1"/>
    <col min="8" max="8" width="11.875" customWidth="1"/>
    <col min="9" max="9" width="12.875" customWidth="1"/>
    <col min="10" max="12" width="10.875" customWidth="1"/>
    <col min="13" max="13" width="13.25" bestFit="1" customWidth="1"/>
    <col min="14" max="14" width="10.875" customWidth="1"/>
    <col min="15" max="15" width="12.875" customWidth="1"/>
    <col min="16" max="16" width="10.875" customWidth="1"/>
    <col min="17" max="17" width="16.875" customWidth="1"/>
    <col min="18" max="18" width="10.87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42</v>
      </c>
      <c r="B2" s="1">
        <v>45950</v>
      </c>
      <c r="C2" t="s">
        <v>43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18</v>
      </c>
      <c r="R2" t="s">
        <v>32</v>
      </c>
    </row>
    <row r="3" spans="1:18" x14ac:dyDescent="0.25">
      <c r="A3" t="s">
        <v>42</v>
      </c>
      <c r="B3" s="1">
        <v>45950</v>
      </c>
      <c r="C3" t="s">
        <v>43</v>
      </c>
      <c r="D3" t="s">
        <v>19</v>
      </c>
      <c r="E3" t="s">
        <v>20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29</v>
      </c>
      <c r="L3" t="s">
        <v>38</v>
      </c>
      <c r="M3" t="s">
        <v>39</v>
      </c>
      <c r="N3" t="s">
        <v>40</v>
      </c>
      <c r="O3" t="s">
        <v>30</v>
      </c>
      <c r="P3" t="s">
        <v>41</v>
      </c>
      <c r="Q3" t="s">
        <v>18</v>
      </c>
      <c r="R3" t="s">
        <v>32</v>
      </c>
    </row>
    <row r="4" spans="1:18" x14ac:dyDescent="0.25">
      <c r="B4" s="1">
        <v>45950</v>
      </c>
      <c r="C4" t="s">
        <v>43</v>
      </c>
    </row>
    <row r="5" spans="1:18" x14ac:dyDescent="0.25">
      <c r="B5" s="1">
        <v>45950</v>
      </c>
      <c r="C5" t="s">
        <v>43</v>
      </c>
    </row>
    <row r="6" spans="1:18" x14ac:dyDescent="0.25">
      <c r="B6" s="1">
        <v>45950</v>
      </c>
      <c r="C6" t="s">
        <v>43</v>
      </c>
    </row>
    <row r="7" spans="1:18" x14ac:dyDescent="0.25">
      <c r="B7" s="1">
        <v>45950</v>
      </c>
      <c r="C7" t="s">
        <v>43</v>
      </c>
    </row>
    <row r="8" spans="1:18" x14ac:dyDescent="0.25">
      <c r="B8" s="1">
        <v>45950</v>
      </c>
      <c r="C8" t="s">
        <v>43</v>
      </c>
    </row>
    <row r="9" spans="1:18" x14ac:dyDescent="0.25">
      <c r="B9" s="1">
        <v>45950</v>
      </c>
      <c r="C9" t="s">
        <v>43</v>
      </c>
    </row>
    <row r="10" spans="1:18" x14ac:dyDescent="0.25">
      <c r="B10" s="1">
        <v>45950</v>
      </c>
      <c r="C10" t="s">
        <v>43</v>
      </c>
    </row>
    <row r="11" spans="1:18" x14ac:dyDescent="0.25">
      <c r="B11" s="1">
        <v>45950</v>
      </c>
      <c r="C11" t="s">
        <v>43</v>
      </c>
    </row>
    <row r="12" spans="1:18" x14ac:dyDescent="0.25">
      <c r="B12" s="1">
        <v>45950</v>
      </c>
      <c r="C12" t="s">
        <v>43</v>
      </c>
    </row>
    <row r="13" spans="1:18" x14ac:dyDescent="0.25">
      <c r="B13" s="1">
        <v>45950</v>
      </c>
      <c r="C13" t="s">
        <v>43</v>
      </c>
    </row>
    <row r="14" spans="1:18" x14ac:dyDescent="0.25">
      <c r="B14" s="1">
        <v>45950</v>
      </c>
      <c r="C14" t="s">
        <v>43</v>
      </c>
    </row>
    <row r="15" spans="1:18" x14ac:dyDescent="0.25">
      <c r="B15" s="1">
        <v>45950</v>
      </c>
      <c r="C15" t="s">
        <v>43</v>
      </c>
    </row>
    <row r="16" spans="1:18" x14ac:dyDescent="0.25">
      <c r="B16" s="1">
        <v>45950</v>
      </c>
      <c r="C16" t="s">
        <v>43</v>
      </c>
    </row>
    <row r="17" spans="2:3" x14ac:dyDescent="0.25">
      <c r="B17" s="1">
        <v>45950</v>
      </c>
      <c r="C17" t="s">
        <v>43</v>
      </c>
    </row>
  </sheetData>
  <pageMargins left="0.7" right="0.7" top="0.75" bottom="0.75" header="0.3" footer="0.3"/>
  <ignoredErrors>
    <ignoredError sqref="A1:R1 D3:R3 D2:R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D9CDD-B152-4AEC-B494-C65428496F67}">
  <dimension ref="A1:D27"/>
  <sheetViews>
    <sheetView zoomScale="87" workbookViewId="0">
      <selection activeCell="E2" sqref="E2"/>
    </sheetView>
  </sheetViews>
  <sheetFormatPr baseColWidth="10" defaultRowHeight="15.75" x14ac:dyDescent="0.25"/>
  <cols>
    <col min="1" max="1" width="22.25" bestFit="1" customWidth="1"/>
  </cols>
  <sheetData>
    <row r="1" spans="1:4" x14ac:dyDescent="0.25">
      <c r="A1" t="s">
        <v>44</v>
      </c>
      <c r="B1" t="s">
        <v>45</v>
      </c>
      <c r="C1" t="s">
        <v>46</v>
      </c>
      <c r="D1" t="s">
        <v>47</v>
      </c>
    </row>
    <row r="2" spans="1:4" x14ac:dyDescent="0.25">
      <c r="A2">
        <v>25</v>
      </c>
      <c r="B2">
        <v>100</v>
      </c>
      <c r="C2">
        <v>100</v>
      </c>
      <c r="D2">
        <v>100</v>
      </c>
    </row>
    <row r="3" spans="1:4" x14ac:dyDescent="0.25">
      <c r="A3">
        <v>20</v>
      </c>
      <c r="B3">
        <v>100</v>
      </c>
      <c r="C3">
        <v>100</v>
      </c>
      <c r="D3">
        <v>100</v>
      </c>
    </row>
    <row r="4" spans="1:4" x14ac:dyDescent="0.25">
      <c r="A4">
        <v>16</v>
      </c>
      <c r="B4">
        <v>100</v>
      </c>
      <c r="C4">
        <v>100</v>
      </c>
      <c r="D4">
        <v>100</v>
      </c>
    </row>
    <row r="5" spans="1:4" x14ac:dyDescent="0.25">
      <c r="A5">
        <v>12.5</v>
      </c>
      <c r="B5">
        <v>99.75</v>
      </c>
      <c r="C5">
        <v>100</v>
      </c>
      <c r="D5">
        <v>99.47</v>
      </c>
    </row>
    <row r="6" spans="1:4" x14ac:dyDescent="0.25">
      <c r="A6">
        <v>10</v>
      </c>
      <c r="B6">
        <v>98.87</v>
      </c>
      <c r="C6">
        <v>99.7</v>
      </c>
      <c r="D6">
        <v>99.47</v>
      </c>
    </row>
    <row r="7" spans="1:4" x14ac:dyDescent="0.25">
      <c r="A7">
        <v>8</v>
      </c>
      <c r="B7">
        <v>98.5</v>
      </c>
      <c r="C7">
        <v>99.7</v>
      </c>
      <c r="D7">
        <v>99.4</v>
      </c>
    </row>
    <row r="8" spans="1:4" x14ac:dyDescent="0.25">
      <c r="A8">
        <v>6.3</v>
      </c>
      <c r="B8">
        <v>98.22</v>
      </c>
      <c r="C8">
        <v>99.61</v>
      </c>
      <c r="D8">
        <v>99.36</v>
      </c>
    </row>
    <row r="9" spans="1:4" x14ac:dyDescent="0.25">
      <c r="A9">
        <v>5</v>
      </c>
      <c r="B9">
        <v>97.95</v>
      </c>
      <c r="C9">
        <v>99.59</v>
      </c>
      <c r="D9">
        <v>99.34</v>
      </c>
    </row>
    <row r="10" spans="1:4" x14ac:dyDescent="0.25">
      <c r="A10">
        <v>4</v>
      </c>
      <c r="B10">
        <v>97.54</v>
      </c>
      <c r="C10">
        <v>99.51</v>
      </c>
      <c r="D10">
        <v>99.25</v>
      </c>
    </row>
    <row r="11" spans="1:4" x14ac:dyDescent="0.25">
      <c r="A11">
        <v>3.15</v>
      </c>
      <c r="B11">
        <v>96.56</v>
      </c>
      <c r="C11">
        <v>99.33</v>
      </c>
      <c r="D11">
        <v>99.05</v>
      </c>
    </row>
    <row r="12" spans="1:4" x14ac:dyDescent="0.25">
      <c r="A12">
        <v>2.5</v>
      </c>
      <c r="B12">
        <v>95.72</v>
      </c>
      <c r="C12">
        <v>99.07</v>
      </c>
      <c r="D12">
        <v>98.89</v>
      </c>
    </row>
    <row r="13" spans="1:4" x14ac:dyDescent="0.25">
      <c r="A13">
        <v>2</v>
      </c>
      <c r="B13">
        <v>95.09</v>
      </c>
      <c r="C13">
        <v>98.62</v>
      </c>
      <c r="D13">
        <v>98.71</v>
      </c>
    </row>
    <row r="14" spans="1:4" x14ac:dyDescent="0.25">
      <c r="A14">
        <v>1.6</v>
      </c>
      <c r="B14">
        <v>94.58</v>
      </c>
      <c r="C14">
        <v>98.03</v>
      </c>
      <c r="D14">
        <v>98.54</v>
      </c>
    </row>
    <row r="15" spans="1:4" x14ac:dyDescent="0.25">
      <c r="A15">
        <v>1.25</v>
      </c>
      <c r="B15">
        <v>94.21</v>
      </c>
      <c r="C15">
        <v>97.38</v>
      </c>
      <c r="D15">
        <v>98.28</v>
      </c>
    </row>
    <row r="16" spans="1:4" x14ac:dyDescent="0.25">
      <c r="A16">
        <v>1</v>
      </c>
      <c r="B16">
        <v>93.96</v>
      </c>
      <c r="C16">
        <v>96.87</v>
      </c>
      <c r="D16">
        <v>98.03</v>
      </c>
    </row>
    <row r="17" spans="1:4" x14ac:dyDescent="0.25">
      <c r="A17">
        <v>0.8</v>
      </c>
      <c r="B17">
        <v>93.7</v>
      </c>
      <c r="C17">
        <v>96.29</v>
      </c>
      <c r="D17">
        <v>97.75</v>
      </c>
    </row>
    <row r="18" spans="1:4" x14ac:dyDescent="0.25">
      <c r="A18">
        <v>0.63</v>
      </c>
      <c r="B18">
        <v>93.45</v>
      </c>
      <c r="C18">
        <v>95.77</v>
      </c>
      <c r="D18">
        <v>97.4</v>
      </c>
    </row>
    <row r="19" spans="1:4" x14ac:dyDescent="0.25">
      <c r="A19">
        <v>0.5</v>
      </c>
      <c r="B19">
        <v>93.06</v>
      </c>
      <c r="C19">
        <v>95.02</v>
      </c>
      <c r="D19">
        <v>96.67</v>
      </c>
    </row>
    <row r="20" spans="1:4" x14ac:dyDescent="0.25">
      <c r="A20">
        <v>0.4</v>
      </c>
      <c r="B20">
        <v>92.67</v>
      </c>
      <c r="C20">
        <v>94.46</v>
      </c>
      <c r="D20">
        <v>95.91</v>
      </c>
    </row>
    <row r="21" spans="1:4" x14ac:dyDescent="0.25">
      <c r="A21">
        <v>0.315</v>
      </c>
      <c r="B21">
        <v>91.88</v>
      </c>
      <c r="C21">
        <v>93.23</v>
      </c>
      <c r="D21">
        <v>94.04</v>
      </c>
    </row>
    <row r="22" spans="1:4" x14ac:dyDescent="0.25">
      <c r="A22">
        <v>0.25</v>
      </c>
      <c r="B22">
        <v>91</v>
      </c>
      <c r="C22">
        <v>91.88</v>
      </c>
      <c r="D22">
        <v>91.73</v>
      </c>
    </row>
    <row r="23" spans="1:4" x14ac:dyDescent="0.25">
      <c r="A23">
        <v>0.2</v>
      </c>
      <c r="B23">
        <v>89.69</v>
      </c>
      <c r="C23">
        <v>87.92</v>
      </c>
      <c r="D23">
        <v>84.86</v>
      </c>
    </row>
    <row r="24" spans="1:4" x14ac:dyDescent="0.25">
      <c r="A24">
        <v>0.16</v>
      </c>
      <c r="B24">
        <v>88.25</v>
      </c>
      <c r="C24">
        <v>85.7</v>
      </c>
      <c r="D24">
        <v>80.61</v>
      </c>
    </row>
    <row r="25" spans="1:4" x14ac:dyDescent="0.25">
      <c r="A25">
        <v>0.125</v>
      </c>
      <c r="B25">
        <v>85.5</v>
      </c>
      <c r="C25">
        <v>80.41</v>
      </c>
      <c r="D25">
        <v>73.48</v>
      </c>
    </row>
    <row r="26" spans="1:4" x14ac:dyDescent="0.25">
      <c r="A26">
        <v>0.1</v>
      </c>
      <c r="B26">
        <v>83.77</v>
      </c>
      <c r="C26">
        <v>78.650000000000006</v>
      </c>
      <c r="D26">
        <v>70.87</v>
      </c>
    </row>
    <row r="27" spans="1:4" x14ac:dyDescent="0.25">
      <c r="A27">
        <v>0.08</v>
      </c>
      <c r="B27">
        <v>82.81</v>
      </c>
      <c r="C27">
        <v>77.5</v>
      </c>
      <c r="D27">
        <v>68.75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C6C65-6111-4041-9872-B5A89AA7CA7B}">
  <dimension ref="A1:D13"/>
  <sheetViews>
    <sheetView tabSelected="1" workbookViewId="0">
      <selection activeCell="F24" sqref="F24"/>
    </sheetView>
  </sheetViews>
  <sheetFormatPr baseColWidth="10" defaultRowHeight="15.75" x14ac:dyDescent="0.25"/>
  <cols>
    <col min="1" max="1" width="22.25" bestFit="1" customWidth="1"/>
  </cols>
  <sheetData>
    <row r="1" spans="1:4" x14ac:dyDescent="0.25">
      <c r="A1" t="s">
        <v>44</v>
      </c>
      <c r="B1" t="s">
        <v>45</v>
      </c>
      <c r="C1" t="s">
        <v>46</v>
      </c>
      <c r="D1" t="s">
        <v>47</v>
      </c>
    </row>
    <row r="2" spans="1:4" x14ac:dyDescent="0.25">
      <c r="A2">
        <v>6.9599999999999995E-2</v>
      </c>
      <c r="B2">
        <v>82.38</v>
      </c>
      <c r="C2">
        <v>77.12</v>
      </c>
      <c r="D2">
        <v>65.88</v>
      </c>
    </row>
    <row r="3" spans="1:4" x14ac:dyDescent="0.25">
      <c r="A3">
        <v>4.9399999999999999E-2</v>
      </c>
      <c r="B3">
        <v>79.33</v>
      </c>
      <c r="C3">
        <v>73.7</v>
      </c>
      <c r="D3">
        <v>62.82</v>
      </c>
    </row>
    <row r="4" spans="1:4" x14ac:dyDescent="0.25">
      <c r="A4">
        <v>3.5099999999999999E-2</v>
      </c>
      <c r="B4">
        <v>76.650000000000006</v>
      </c>
      <c r="C4">
        <v>70.28</v>
      </c>
      <c r="D4">
        <v>60.02</v>
      </c>
    </row>
    <row r="5" spans="1:4" x14ac:dyDescent="0.25">
      <c r="A5">
        <v>2.24E-2</v>
      </c>
      <c r="B5">
        <v>71.69</v>
      </c>
      <c r="C5">
        <v>65.150000000000006</v>
      </c>
      <c r="D5">
        <v>56.21</v>
      </c>
    </row>
    <row r="6" spans="1:4" x14ac:dyDescent="0.25">
      <c r="A6">
        <v>1.2999999999999999E-2</v>
      </c>
      <c r="B6">
        <v>67.099999999999994</v>
      </c>
      <c r="C6">
        <v>59.33</v>
      </c>
      <c r="D6">
        <v>51.11</v>
      </c>
    </row>
    <row r="7" spans="1:4" x14ac:dyDescent="0.25">
      <c r="A7">
        <v>7.6E-3</v>
      </c>
      <c r="B7">
        <v>61.37</v>
      </c>
      <c r="C7">
        <v>53.18</v>
      </c>
      <c r="D7">
        <v>46.03</v>
      </c>
    </row>
    <row r="8" spans="1:4" x14ac:dyDescent="0.25">
      <c r="A8">
        <v>4.7000000000000002E-3</v>
      </c>
      <c r="B8">
        <v>56.4</v>
      </c>
      <c r="C8">
        <v>48.05</v>
      </c>
      <c r="D8">
        <v>40.700000000000003</v>
      </c>
    </row>
    <row r="9" spans="1:4" x14ac:dyDescent="0.25">
      <c r="A9">
        <v>3.3E-3</v>
      </c>
      <c r="B9">
        <v>52.97</v>
      </c>
      <c r="C9">
        <v>43.63</v>
      </c>
      <c r="D9">
        <v>37.130000000000003</v>
      </c>
    </row>
    <row r="10" spans="1:4" x14ac:dyDescent="0.25">
      <c r="A10">
        <v>2.7000000000000001E-3</v>
      </c>
      <c r="B10">
        <v>51.03</v>
      </c>
      <c r="C10">
        <v>41.23</v>
      </c>
      <c r="D10">
        <v>34.58</v>
      </c>
    </row>
    <row r="11" spans="1:4" x14ac:dyDescent="0.25">
      <c r="A11">
        <v>2.3999999999999998E-3</v>
      </c>
      <c r="B11">
        <v>49.91</v>
      </c>
      <c r="C11">
        <v>39.86</v>
      </c>
      <c r="D11">
        <v>33.049999999999997</v>
      </c>
    </row>
    <row r="12" spans="1:4" x14ac:dyDescent="0.25">
      <c r="A12">
        <v>1.9E-3</v>
      </c>
      <c r="B12">
        <v>48.76</v>
      </c>
      <c r="C12">
        <v>38.5</v>
      </c>
      <c r="D12">
        <v>31.01</v>
      </c>
    </row>
    <row r="13" spans="1:4" x14ac:dyDescent="0.25">
      <c r="A13">
        <v>1.4E-3</v>
      </c>
      <c r="B13">
        <v>48</v>
      </c>
      <c r="C13">
        <v>37.1</v>
      </c>
      <c r="D13">
        <v>28.97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B0AA1-4BD9-41BD-B1CB-27E46B850ADB}">
  <dimension ref="A1:D7"/>
  <sheetViews>
    <sheetView workbookViewId="0">
      <selection sqref="A1:D7"/>
    </sheetView>
  </sheetViews>
  <sheetFormatPr baseColWidth="10" defaultRowHeight="15.75" x14ac:dyDescent="0.25"/>
  <cols>
    <col min="3" max="3" width="14" bestFit="1" customWidth="1"/>
    <col min="4" max="4" width="15" bestFit="1" customWidth="1"/>
  </cols>
  <sheetData>
    <row r="1" spans="1:4" x14ac:dyDescent="0.25">
      <c r="A1" t="s">
        <v>56</v>
      </c>
      <c r="B1" t="s">
        <v>52</v>
      </c>
      <c r="C1" t="s">
        <v>57</v>
      </c>
      <c r="D1" s="2" t="s">
        <v>58</v>
      </c>
    </row>
    <row r="2" spans="1:4" x14ac:dyDescent="0.25">
      <c r="A2">
        <v>1</v>
      </c>
      <c r="B2" t="s">
        <v>53</v>
      </c>
      <c r="C2">
        <v>1</v>
      </c>
      <c r="D2">
        <v>2.4700000000000002</v>
      </c>
    </row>
    <row r="3" spans="1:4" x14ac:dyDescent="0.25">
      <c r="B3" t="s">
        <v>53</v>
      </c>
      <c r="C3">
        <v>1.5</v>
      </c>
      <c r="D3">
        <v>2.39</v>
      </c>
    </row>
    <row r="4" spans="1:4" x14ac:dyDescent="0.25">
      <c r="B4" t="s">
        <v>53</v>
      </c>
      <c r="C4">
        <v>2</v>
      </c>
      <c r="D4">
        <v>2.63</v>
      </c>
    </row>
    <row r="5" spans="1:4" x14ac:dyDescent="0.25">
      <c r="A5">
        <v>2</v>
      </c>
      <c r="B5" t="s">
        <v>55</v>
      </c>
      <c r="C5">
        <v>1</v>
      </c>
      <c r="D5">
        <v>2.4700000000000002</v>
      </c>
    </row>
    <row r="6" spans="1:4" x14ac:dyDescent="0.25">
      <c r="B6" t="s">
        <v>55</v>
      </c>
      <c r="C6">
        <v>1.5</v>
      </c>
      <c r="D6">
        <v>2.5099999999999998</v>
      </c>
    </row>
    <row r="7" spans="1:4" x14ac:dyDescent="0.25">
      <c r="B7" t="s">
        <v>55</v>
      </c>
      <c r="C7">
        <v>2</v>
      </c>
      <c r="D7">
        <v>2.57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42FB4-9281-45B9-9B6D-F7A72443B93E}">
  <dimension ref="A1:E9"/>
  <sheetViews>
    <sheetView workbookViewId="0">
      <selection sqref="A1:E9"/>
    </sheetView>
  </sheetViews>
  <sheetFormatPr baseColWidth="10" defaultRowHeight="15.75" x14ac:dyDescent="0.25"/>
  <sheetData>
    <row r="1" spans="1:5" x14ac:dyDescent="0.25">
      <c r="A1" t="s">
        <v>52</v>
      </c>
      <c r="B1" t="s">
        <v>48</v>
      </c>
      <c r="C1" t="s">
        <v>49</v>
      </c>
      <c r="D1" t="s">
        <v>50</v>
      </c>
      <c r="E1" t="s">
        <v>51</v>
      </c>
    </row>
    <row r="2" spans="1:5" x14ac:dyDescent="0.25">
      <c r="A2" t="s">
        <v>53</v>
      </c>
      <c r="B2">
        <v>1</v>
      </c>
      <c r="C2">
        <v>57.57</v>
      </c>
      <c r="D2">
        <v>25.06</v>
      </c>
      <c r="E2">
        <v>32.51</v>
      </c>
    </row>
    <row r="3" spans="1:5" x14ac:dyDescent="0.25">
      <c r="A3" t="s">
        <v>53</v>
      </c>
      <c r="B3">
        <v>1.5</v>
      </c>
      <c r="C3">
        <v>42.95</v>
      </c>
      <c r="D3">
        <v>29.96</v>
      </c>
      <c r="E3">
        <v>12.99</v>
      </c>
    </row>
    <row r="4" spans="1:5" x14ac:dyDescent="0.25">
      <c r="A4" t="s">
        <v>53</v>
      </c>
      <c r="B4">
        <v>2</v>
      </c>
      <c r="C4">
        <v>32.46</v>
      </c>
      <c r="D4">
        <v>23.83</v>
      </c>
      <c r="E4">
        <v>8.6300000000000008</v>
      </c>
    </row>
    <row r="5" spans="1:5" x14ac:dyDescent="0.25">
      <c r="A5" t="s">
        <v>53</v>
      </c>
      <c r="B5" t="s">
        <v>54</v>
      </c>
      <c r="C5">
        <v>44.33</v>
      </c>
      <c r="D5">
        <v>26.28</v>
      </c>
      <c r="E5">
        <v>18.05</v>
      </c>
    </row>
    <row r="6" spans="1:5" x14ac:dyDescent="0.25">
      <c r="A6" t="s">
        <v>55</v>
      </c>
      <c r="B6">
        <v>1</v>
      </c>
      <c r="C6">
        <v>39.6</v>
      </c>
      <c r="D6">
        <v>16.66</v>
      </c>
      <c r="E6">
        <v>22.94</v>
      </c>
    </row>
    <row r="7" spans="1:5" x14ac:dyDescent="0.25">
      <c r="A7" t="s">
        <v>55</v>
      </c>
      <c r="B7">
        <v>1.5</v>
      </c>
      <c r="C7">
        <v>33.47</v>
      </c>
      <c r="D7">
        <v>16.09</v>
      </c>
      <c r="E7">
        <v>17.38</v>
      </c>
    </row>
    <row r="8" spans="1:5" x14ac:dyDescent="0.25">
      <c r="A8" t="s">
        <v>55</v>
      </c>
      <c r="B8">
        <v>2</v>
      </c>
      <c r="C8">
        <v>24.24</v>
      </c>
      <c r="D8">
        <v>16.22</v>
      </c>
      <c r="E8">
        <v>8.02</v>
      </c>
    </row>
    <row r="9" spans="1:5" x14ac:dyDescent="0.25">
      <c r="A9" t="s">
        <v>55</v>
      </c>
      <c r="B9" t="s">
        <v>54</v>
      </c>
      <c r="C9">
        <v>32.44</v>
      </c>
      <c r="D9">
        <v>16.32</v>
      </c>
      <c r="E9">
        <v>16.12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ADD7D-34E1-41EE-BB67-F92C0FA22554}">
  <dimension ref="A1:E9"/>
  <sheetViews>
    <sheetView workbookViewId="0">
      <selection sqref="A1:E9"/>
    </sheetView>
  </sheetViews>
  <sheetFormatPr baseColWidth="10" defaultRowHeight="15.75" x14ac:dyDescent="0.25"/>
  <cols>
    <col min="3" max="3" width="14" bestFit="1" customWidth="1"/>
    <col min="5" max="5" width="31" bestFit="1" customWidth="1"/>
  </cols>
  <sheetData>
    <row r="1" spans="1:5" x14ac:dyDescent="0.25">
      <c r="A1" t="s">
        <v>56</v>
      </c>
      <c r="B1" t="s">
        <v>52</v>
      </c>
      <c r="C1" t="s">
        <v>57</v>
      </c>
      <c r="D1" t="s">
        <v>60</v>
      </c>
      <c r="E1" t="s">
        <v>59</v>
      </c>
    </row>
    <row r="2" spans="1:5" x14ac:dyDescent="0.25">
      <c r="A2">
        <v>1</v>
      </c>
      <c r="B2" t="s">
        <v>53</v>
      </c>
      <c r="C2">
        <v>1</v>
      </c>
      <c r="D2">
        <v>7.31</v>
      </c>
      <c r="E2" t="s">
        <v>61</v>
      </c>
    </row>
    <row r="3" spans="1:5" x14ac:dyDescent="0.25">
      <c r="A3">
        <v>1</v>
      </c>
      <c r="B3" t="s">
        <v>53</v>
      </c>
      <c r="C3">
        <v>1.5</v>
      </c>
      <c r="D3">
        <v>6.28</v>
      </c>
      <c r="E3" t="s">
        <v>61</v>
      </c>
    </row>
    <row r="4" spans="1:5" x14ac:dyDescent="0.25">
      <c r="A4">
        <v>1</v>
      </c>
      <c r="B4" t="s">
        <v>53</v>
      </c>
      <c r="C4">
        <v>2</v>
      </c>
      <c r="D4">
        <v>4.6900000000000004</v>
      </c>
      <c r="E4" t="s">
        <v>62</v>
      </c>
    </row>
    <row r="5" spans="1:5" x14ac:dyDescent="0.25">
      <c r="A5">
        <v>1</v>
      </c>
      <c r="B5" t="s">
        <v>53</v>
      </c>
      <c r="C5" t="s">
        <v>54</v>
      </c>
      <c r="D5">
        <v>6.09</v>
      </c>
      <c r="E5" t="s">
        <v>61</v>
      </c>
    </row>
    <row r="6" spans="1:5" x14ac:dyDescent="0.25">
      <c r="A6">
        <v>2</v>
      </c>
      <c r="B6" t="s">
        <v>55</v>
      </c>
      <c r="C6">
        <v>1</v>
      </c>
      <c r="D6">
        <v>4.4000000000000004</v>
      </c>
      <c r="E6" t="s">
        <v>62</v>
      </c>
    </row>
    <row r="7" spans="1:5" x14ac:dyDescent="0.25">
      <c r="A7">
        <v>2</v>
      </c>
      <c r="B7" t="s">
        <v>55</v>
      </c>
      <c r="C7">
        <v>1.5</v>
      </c>
      <c r="D7">
        <v>3.98</v>
      </c>
      <c r="E7" t="s">
        <v>62</v>
      </c>
    </row>
    <row r="8" spans="1:5" x14ac:dyDescent="0.25">
      <c r="A8">
        <v>2</v>
      </c>
      <c r="B8" t="s">
        <v>55</v>
      </c>
      <c r="C8">
        <v>2</v>
      </c>
      <c r="D8">
        <v>2.48</v>
      </c>
      <c r="E8" t="s">
        <v>63</v>
      </c>
    </row>
    <row r="9" spans="1:5" x14ac:dyDescent="0.25">
      <c r="A9">
        <v>2</v>
      </c>
      <c r="B9" t="s">
        <v>55</v>
      </c>
      <c r="C9" t="s">
        <v>54</v>
      </c>
      <c r="D9">
        <v>3.62</v>
      </c>
      <c r="E9" t="s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561AE-24B6-408A-9180-AD2C0F72090B}">
  <dimension ref="A1:G9"/>
  <sheetViews>
    <sheetView workbookViewId="0">
      <selection sqref="A1:G9"/>
    </sheetView>
  </sheetViews>
  <sheetFormatPr baseColWidth="10" defaultRowHeight="15.75" x14ac:dyDescent="0.25"/>
  <cols>
    <col min="3" max="3" width="14" bestFit="1" customWidth="1"/>
    <col min="4" max="4" width="13" bestFit="1" customWidth="1"/>
    <col min="5" max="5" width="14.375" bestFit="1" customWidth="1"/>
    <col min="7" max="7" width="17.25" bestFit="1" customWidth="1"/>
  </cols>
  <sheetData>
    <row r="1" spans="1:7" x14ac:dyDescent="0.25">
      <c r="A1" t="s">
        <v>56</v>
      </c>
      <c r="B1" t="s">
        <v>52</v>
      </c>
      <c r="C1" t="s">
        <v>57</v>
      </c>
      <c r="D1" t="s">
        <v>64</v>
      </c>
      <c r="E1" t="s">
        <v>65</v>
      </c>
      <c r="F1" t="s">
        <v>66</v>
      </c>
      <c r="G1" t="s">
        <v>59</v>
      </c>
    </row>
    <row r="2" spans="1:7" x14ac:dyDescent="0.25">
      <c r="A2">
        <v>1</v>
      </c>
      <c r="B2" t="s">
        <v>53</v>
      </c>
      <c r="C2">
        <v>1</v>
      </c>
      <c r="D2">
        <v>9.82</v>
      </c>
      <c r="E2">
        <v>57.57</v>
      </c>
      <c r="F2">
        <v>0.17100000000000001</v>
      </c>
      <c r="G2" t="s">
        <v>67</v>
      </c>
    </row>
    <row r="3" spans="1:7" x14ac:dyDescent="0.25">
      <c r="A3">
        <v>1</v>
      </c>
      <c r="B3" t="s">
        <v>53</v>
      </c>
      <c r="C3">
        <v>1.5</v>
      </c>
      <c r="D3">
        <v>10.35</v>
      </c>
      <c r="E3">
        <v>42.95</v>
      </c>
      <c r="F3">
        <v>0.24099999999999999</v>
      </c>
      <c r="G3" t="s">
        <v>68</v>
      </c>
    </row>
    <row r="4" spans="1:7" x14ac:dyDescent="0.25">
      <c r="A4">
        <v>1</v>
      </c>
      <c r="B4" t="s">
        <v>53</v>
      </c>
      <c r="C4">
        <v>2</v>
      </c>
      <c r="D4">
        <v>8.02</v>
      </c>
      <c r="E4">
        <v>32.46</v>
      </c>
      <c r="F4">
        <v>0.247</v>
      </c>
      <c r="G4" t="s">
        <v>69</v>
      </c>
    </row>
    <row r="5" spans="1:7" x14ac:dyDescent="0.25">
      <c r="A5">
        <v>1</v>
      </c>
      <c r="B5" t="s">
        <v>53</v>
      </c>
      <c r="C5" t="s">
        <v>54</v>
      </c>
      <c r="D5">
        <v>9.4</v>
      </c>
      <c r="E5">
        <v>35.39</v>
      </c>
      <c r="F5">
        <v>0.26600000000000001</v>
      </c>
      <c r="G5" t="s">
        <v>68</v>
      </c>
    </row>
    <row r="6" spans="1:7" x14ac:dyDescent="0.25">
      <c r="A6">
        <v>2</v>
      </c>
      <c r="B6" t="s">
        <v>55</v>
      </c>
      <c r="C6">
        <v>1</v>
      </c>
      <c r="D6">
        <v>8.17</v>
      </c>
      <c r="E6">
        <v>39.6</v>
      </c>
      <c r="F6">
        <v>0.20599999999999999</v>
      </c>
      <c r="G6" t="s">
        <v>67</v>
      </c>
    </row>
    <row r="7" spans="1:7" x14ac:dyDescent="0.25">
      <c r="A7">
        <v>2</v>
      </c>
      <c r="B7" t="s">
        <v>55</v>
      </c>
      <c r="C7">
        <v>1.5</v>
      </c>
      <c r="D7">
        <v>7.52</v>
      </c>
      <c r="E7">
        <v>33.47</v>
      </c>
      <c r="F7">
        <v>0.22500000000000001</v>
      </c>
      <c r="G7" t="s">
        <v>68</v>
      </c>
    </row>
    <row r="8" spans="1:7" x14ac:dyDescent="0.25">
      <c r="A8">
        <v>2</v>
      </c>
      <c r="B8" t="s">
        <v>55</v>
      </c>
      <c r="C8">
        <v>2</v>
      </c>
      <c r="D8">
        <v>6.21</v>
      </c>
      <c r="E8">
        <v>24.24</v>
      </c>
      <c r="F8">
        <v>0.25600000000000001</v>
      </c>
      <c r="G8" t="s">
        <v>69</v>
      </c>
    </row>
    <row r="9" spans="1:7" x14ac:dyDescent="0.25">
      <c r="A9">
        <v>2</v>
      </c>
      <c r="B9" t="s">
        <v>55</v>
      </c>
      <c r="C9" t="s">
        <v>54</v>
      </c>
      <c r="D9">
        <v>7.3</v>
      </c>
      <c r="E9">
        <v>33.71</v>
      </c>
      <c r="F9">
        <v>0.217</v>
      </c>
      <c r="G9" t="s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25699-1439-4921-882C-DD478EE9359E}">
  <dimension ref="A1:E7"/>
  <sheetViews>
    <sheetView workbookViewId="0">
      <selection activeCell="E7" sqref="A1:E7"/>
    </sheetView>
  </sheetViews>
  <sheetFormatPr baseColWidth="10" defaultRowHeight="15.75" x14ac:dyDescent="0.25"/>
  <cols>
    <col min="3" max="3" width="16.375" bestFit="1" customWidth="1"/>
    <col min="4" max="4" width="34.25" bestFit="1" customWidth="1"/>
    <col min="5" max="5" width="37.25" bestFit="1" customWidth="1"/>
  </cols>
  <sheetData>
    <row r="1" spans="1:5" x14ac:dyDescent="0.25">
      <c r="A1" t="s">
        <v>70</v>
      </c>
      <c r="B1" t="s">
        <v>71</v>
      </c>
      <c r="C1" t="s">
        <v>72</v>
      </c>
      <c r="D1" t="s">
        <v>79</v>
      </c>
      <c r="E1" t="s">
        <v>80</v>
      </c>
    </row>
    <row r="2" spans="1:5" x14ac:dyDescent="0.25">
      <c r="A2" t="s">
        <v>53</v>
      </c>
      <c r="B2">
        <v>1</v>
      </c>
      <c r="C2" t="s">
        <v>75</v>
      </c>
      <c r="D2" t="s">
        <v>76</v>
      </c>
      <c r="E2" t="s">
        <v>61</v>
      </c>
    </row>
    <row r="3" spans="1:5" x14ac:dyDescent="0.25">
      <c r="B3">
        <v>1.5</v>
      </c>
      <c r="C3" t="s">
        <v>74</v>
      </c>
      <c r="D3" t="s">
        <v>77</v>
      </c>
      <c r="E3" t="s">
        <v>61</v>
      </c>
    </row>
    <row r="4" spans="1:5" x14ac:dyDescent="0.25">
      <c r="B4">
        <v>2</v>
      </c>
      <c r="C4" t="s">
        <v>73</v>
      </c>
      <c r="D4" t="s">
        <v>78</v>
      </c>
      <c r="E4" t="s">
        <v>62</v>
      </c>
    </row>
    <row r="5" spans="1:5" x14ac:dyDescent="0.25">
      <c r="A5" t="s">
        <v>55</v>
      </c>
      <c r="B5">
        <v>1</v>
      </c>
      <c r="C5" t="s">
        <v>82</v>
      </c>
      <c r="D5" t="s">
        <v>76</v>
      </c>
      <c r="E5" t="s">
        <v>62</v>
      </c>
    </row>
    <row r="6" spans="1:5" x14ac:dyDescent="0.25">
      <c r="B6">
        <v>1.5</v>
      </c>
      <c r="C6" t="s">
        <v>82</v>
      </c>
      <c r="D6" t="s">
        <v>76</v>
      </c>
      <c r="E6" t="s">
        <v>62</v>
      </c>
    </row>
    <row r="7" spans="1:5" x14ac:dyDescent="0.25">
      <c r="B7">
        <v>2</v>
      </c>
      <c r="C7" t="s">
        <v>81</v>
      </c>
      <c r="D7" t="s">
        <v>83</v>
      </c>
      <c r="E7" t="s">
        <v>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15D72-2BD7-4439-AC3F-024ED979BD05}">
  <dimension ref="A1:D13"/>
  <sheetViews>
    <sheetView workbookViewId="0">
      <selection activeCell="D13" sqref="A1:D13"/>
    </sheetView>
  </sheetViews>
  <sheetFormatPr baseColWidth="10" defaultRowHeight="15.75" x14ac:dyDescent="0.25"/>
  <cols>
    <col min="1" max="1" width="21.75" bestFit="1" customWidth="1"/>
    <col min="2" max="2" width="23.25" bestFit="1" customWidth="1"/>
    <col min="3" max="3" width="16.125" bestFit="1" customWidth="1"/>
  </cols>
  <sheetData>
    <row r="1" spans="1:4" x14ac:dyDescent="0.25">
      <c r="A1" t="s">
        <v>84</v>
      </c>
      <c r="B1" t="s">
        <v>85</v>
      </c>
      <c r="C1" t="s">
        <v>86</v>
      </c>
      <c r="D1" t="s">
        <v>87</v>
      </c>
    </row>
    <row r="2" spans="1:4" x14ac:dyDescent="0.25">
      <c r="A2">
        <v>5.9499999999999997E-2</v>
      </c>
      <c r="D2">
        <v>64.510000000000005</v>
      </c>
    </row>
    <row r="3" spans="1:4" x14ac:dyDescent="0.25">
      <c r="A3">
        <v>4.2799999999999998E-2</v>
      </c>
      <c r="D3">
        <v>61.48</v>
      </c>
    </row>
    <row r="4" spans="1:4" x14ac:dyDescent="0.25">
      <c r="A4">
        <v>3.09E-2</v>
      </c>
      <c r="D4">
        <v>57.69</v>
      </c>
    </row>
    <row r="5" spans="1:4" x14ac:dyDescent="0.25">
      <c r="A5">
        <v>1.9900000000000001E-2</v>
      </c>
      <c r="D5">
        <v>53.9</v>
      </c>
    </row>
    <row r="6" spans="1:4" x14ac:dyDescent="0.25">
      <c r="A6">
        <v>1.18E-2</v>
      </c>
      <c r="D6">
        <v>48.59</v>
      </c>
    </row>
    <row r="7" spans="1:4" x14ac:dyDescent="0.25">
      <c r="A7">
        <v>7.0000000000000001E-3</v>
      </c>
      <c r="D7">
        <v>42.98</v>
      </c>
    </row>
    <row r="8" spans="1:4" x14ac:dyDescent="0.25">
      <c r="A8">
        <v>4.4000000000000003E-3</v>
      </c>
      <c r="D8">
        <v>39.51</v>
      </c>
    </row>
    <row r="9" spans="1:4" x14ac:dyDescent="0.25">
      <c r="A9">
        <v>3.0999999999999999E-3</v>
      </c>
      <c r="D9">
        <v>37.229999999999997</v>
      </c>
    </row>
    <row r="10" spans="1:4" x14ac:dyDescent="0.25">
      <c r="A10">
        <v>2.5999999999999999E-3</v>
      </c>
      <c r="D10">
        <v>35.409999999999997</v>
      </c>
    </row>
    <row r="11" spans="1:4" x14ac:dyDescent="0.25">
      <c r="A11">
        <v>2.2000000000000001E-3</v>
      </c>
      <c r="D11">
        <v>33.44</v>
      </c>
    </row>
    <row r="12" spans="1:4" x14ac:dyDescent="0.25">
      <c r="A12">
        <v>1.8E-3</v>
      </c>
      <c r="D12">
        <v>32.39</v>
      </c>
    </row>
    <row r="13" spans="1:4" x14ac:dyDescent="0.25">
      <c r="A13">
        <v>1.2999999999999999E-3</v>
      </c>
      <c r="D13">
        <v>31.18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86B59-CCA9-447B-BA2E-F5EDE94CE911}">
  <dimension ref="A1:D25"/>
  <sheetViews>
    <sheetView workbookViewId="0">
      <selection sqref="A1:D25"/>
    </sheetView>
  </sheetViews>
  <sheetFormatPr baseColWidth="10" defaultRowHeight="15.75" x14ac:dyDescent="0.25"/>
  <cols>
    <col min="1" max="1" width="21.75" bestFit="1" customWidth="1"/>
    <col min="2" max="2" width="23.25" bestFit="1" customWidth="1"/>
    <col min="3" max="3" width="16.125" bestFit="1" customWidth="1"/>
    <col min="4" max="4" width="10.375" bestFit="1" customWidth="1"/>
  </cols>
  <sheetData>
    <row r="1" spans="1:4" x14ac:dyDescent="0.25">
      <c r="A1" t="s">
        <v>84</v>
      </c>
      <c r="B1" t="s">
        <v>85</v>
      </c>
      <c r="C1" t="s">
        <v>86</v>
      </c>
      <c r="D1" t="s">
        <v>87</v>
      </c>
    </row>
    <row r="2" spans="1:4" x14ac:dyDescent="0.25">
      <c r="A2">
        <v>16</v>
      </c>
      <c r="B2">
        <v>0</v>
      </c>
      <c r="C2">
        <v>0</v>
      </c>
      <c r="D2">
        <v>100</v>
      </c>
    </row>
    <row r="3" spans="1:4" x14ac:dyDescent="0.25">
      <c r="A3">
        <v>12.5</v>
      </c>
      <c r="B3">
        <v>5.08</v>
      </c>
      <c r="C3">
        <v>0.37</v>
      </c>
      <c r="D3">
        <v>99.63</v>
      </c>
    </row>
    <row r="4" spans="1:4" x14ac:dyDescent="0.25">
      <c r="A4">
        <v>10</v>
      </c>
      <c r="B4">
        <v>9.3000000000000007</v>
      </c>
      <c r="C4">
        <v>0.67</v>
      </c>
      <c r="D4">
        <v>99.33</v>
      </c>
    </row>
    <row r="5" spans="1:4" x14ac:dyDescent="0.25">
      <c r="A5">
        <v>8</v>
      </c>
      <c r="B5">
        <v>11.65</v>
      </c>
      <c r="C5">
        <v>0.84</v>
      </c>
      <c r="D5">
        <v>99.16</v>
      </c>
    </row>
    <row r="6" spans="1:4" x14ac:dyDescent="0.25">
      <c r="A6">
        <v>6.3</v>
      </c>
      <c r="B6">
        <v>14.09</v>
      </c>
      <c r="C6">
        <v>1.02</v>
      </c>
      <c r="D6">
        <v>98.98</v>
      </c>
    </row>
    <row r="7" spans="1:4" x14ac:dyDescent="0.25">
      <c r="A7">
        <v>5</v>
      </c>
      <c r="B7">
        <v>15.89</v>
      </c>
      <c r="C7">
        <v>1.1499999999999999</v>
      </c>
      <c r="D7">
        <v>98.85</v>
      </c>
    </row>
    <row r="8" spans="1:4" x14ac:dyDescent="0.25">
      <c r="A8">
        <v>4</v>
      </c>
      <c r="B8">
        <v>17.100000000000001</v>
      </c>
      <c r="C8">
        <v>1.23</v>
      </c>
      <c r="D8">
        <v>98.77</v>
      </c>
    </row>
    <row r="9" spans="1:4" x14ac:dyDescent="0.25">
      <c r="A9">
        <v>3.15</v>
      </c>
      <c r="B9">
        <v>22.48</v>
      </c>
      <c r="C9">
        <v>1.62</v>
      </c>
      <c r="D9">
        <v>98.38</v>
      </c>
    </row>
    <row r="10" spans="1:4" x14ac:dyDescent="0.25">
      <c r="A10">
        <v>2.5</v>
      </c>
      <c r="B10">
        <v>28</v>
      </c>
      <c r="C10">
        <v>2.02</v>
      </c>
      <c r="D10">
        <v>97.98</v>
      </c>
    </row>
    <row r="11" spans="1:4" x14ac:dyDescent="0.25">
      <c r="A11">
        <v>2</v>
      </c>
      <c r="B11">
        <v>33.94</v>
      </c>
      <c r="C11">
        <v>2.4500000000000002</v>
      </c>
      <c r="D11">
        <v>97.55</v>
      </c>
    </row>
    <row r="12" spans="1:4" x14ac:dyDescent="0.25">
      <c r="A12">
        <v>1.6</v>
      </c>
      <c r="B12">
        <v>43.22</v>
      </c>
      <c r="C12">
        <v>3.12</v>
      </c>
      <c r="D12">
        <v>96.88</v>
      </c>
    </row>
    <row r="13" spans="1:4" x14ac:dyDescent="0.25">
      <c r="A13">
        <v>1.25</v>
      </c>
      <c r="B13">
        <v>57.6</v>
      </c>
      <c r="C13">
        <v>4.1500000000000004</v>
      </c>
      <c r="D13">
        <v>95.85</v>
      </c>
    </row>
    <row r="14" spans="1:4" x14ac:dyDescent="0.25">
      <c r="A14">
        <v>1</v>
      </c>
      <c r="B14">
        <v>71.510000000000005</v>
      </c>
      <c r="C14">
        <v>5.16</v>
      </c>
      <c r="D14">
        <v>94.84</v>
      </c>
    </row>
    <row r="15" spans="1:4" x14ac:dyDescent="0.25">
      <c r="A15">
        <v>0.8</v>
      </c>
      <c r="B15">
        <v>87.18</v>
      </c>
      <c r="C15">
        <v>6.29</v>
      </c>
      <c r="D15">
        <v>93.71</v>
      </c>
    </row>
    <row r="16" spans="1:4" x14ac:dyDescent="0.25">
      <c r="A16">
        <v>0.63</v>
      </c>
      <c r="B16">
        <v>102.8</v>
      </c>
      <c r="C16">
        <v>7.41</v>
      </c>
      <c r="D16">
        <v>92.59</v>
      </c>
    </row>
    <row r="17" spans="1:4" x14ac:dyDescent="0.25">
      <c r="A17">
        <v>0.5</v>
      </c>
      <c r="B17">
        <v>125.66</v>
      </c>
      <c r="C17">
        <v>9.06</v>
      </c>
      <c r="D17">
        <v>90.94</v>
      </c>
    </row>
    <row r="18" spans="1:4" x14ac:dyDescent="0.25">
      <c r="A18">
        <v>0.4</v>
      </c>
      <c r="B18">
        <v>146.22</v>
      </c>
      <c r="C18">
        <v>10.54</v>
      </c>
      <c r="D18">
        <v>89.46</v>
      </c>
    </row>
    <row r="19" spans="1:4" x14ac:dyDescent="0.25">
      <c r="A19">
        <v>0.315</v>
      </c>
      <c r="B19">
        <v>174.73</v>
      </c>
      <c r="C19">
        <v>12.6</v>
      </c>
      <c r="D19">
        <v>87.4</v>
      </c>
    </row>
    <row r="20" spans="1:4" x14ac:dyDescent="0.25">
      <c r="A20">
        <v>0.25</v>
      </c>
      <c r="B20">
        <v>204.06</v>
      </c>
      <c r="C20">
        <v>14.72</v>
      </c>
      <c r="D20">
        <v>85.28</v>
      </c>
    </row>
    <row r="21" spans="1:4" x14ac:dyDescent="0.25">
      <c r="A21">
        <v>0.2</v>
      </c>
      <c r="B21">
        <v>247.57</v>
      </c>
      <c r="C21">
        <v>17.850000000000001</v>
      </c>
      <c r="D21">
        <v>82.15</v>
      </c>
    </row>
    <row r="22" spans="1:4" x14ac:dyDescent="0.25">
      <c r="A22">
        <v>0.16</v>
      </c>
      <c r="B22">
        <v>300.10000000000002</v>
      </c>
      <c r="C22">
        <v>21.64</v>
      </c>
      <c r="D22">
        <v>78.36</v>
      </c>
    </row>
    <row r="23" spans="1:4" x14ac:dyDescent="0.25">
      <c r="A23">
        <v>0.125</v>
      </c>
      <c r="B23">
        <v>400.85</v>
      </c>
      <c r="C23">
        <v>28.91</v>
      </c>
      <c r="D23">
        <v>71.09</v>
      </c>
    </row>
    <row r="24" spans="1:4" x14ac:dyDescent="0.25">
      <c r="A24">
        <v>0.1</v>
      </c>
      <c r="B24">
        <v>440.23</v>
      </c>
      <c r="C24">
        <v>31.75</v>
      </c>
      <c r="D24">
        <v>68.25</v>
      </c>
    </row>
    <row r="25" spans="1:4" x14ac:dyDescent="0.25">
      <c r="A25">
        <v>0.08</v>
      </c>
      <c r="B25">
        <v>461.28</v>
      </c>
      <c r="C25">
        <v>33.26</v>
      </c>
      <c r="D25">
        <v>66.739999999999995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E3F60-CA7F-4E38-863A-99006BAED528}">
  <dimension ref="A1:D13"/>
  <sheetViews>
    <sheetView workbookViewId="0">
      <selection sqref="A1:D1"/>
    </sheetView>
  </sheetViews>
  <sheetFormatPr baseColWidth="10" defaultRowHeight="15.75" x14ac:dyDescent="0.25"/>
  <cols>
    <col min="1" max="1" width="21.75" bestFit="1" customWidth="1"/>
    <col min="2" max="2" width="23.25" bestFit="1" customWidth="1"/>
    <col min="3" max="3" width="16.125" bestFit="1" customWidth="1"/>
    <col min="4" max="4" width="10.375" bestFit="1" customWidth="1"/>
  </cols>
  <sheetData>
    <row r="1" spans="1:4" x14ac:dyDescent="0.25">
      <c r="A1" t="s">
        <v>84</v>
      </c>
      <c r="B1" t="s">
        <v>85</v>
      </c>
      <c r="C1" t="s">
        <v>86</v>
      </c>
      <c r="D1" t="s">
        <v>87</v>
      </c>
    </row>
    <row r="2" spans="1:4" x14ac:dyDescent="0.25">
      <c r="A2">
        <v>6.6600000000000006E-2</v>
      </c>
      <c r="D2">
        <v>49.7</v>
      </c>
    </row>
    <row r="3" spans="1:4" x14ac:dyDescent="0.25">
      <c r="A3">
        <v>4.7699999999999999E-2</v>
      </c>
      <c r="D3">
        <v>45.81</v>
      </c>
    </row>
    <row r="4" spans="1:4" x14ac:dyDescent="0.25">
      <c r="A4">
        <v>3.4200000000000001E-2</v>
      </c>
      <c r="D4">
        <v>41.92</v>
      </c>
    </row>
    <row r="5" spans="1:4" x14ac:dyDescent="0.25">
      <c r="A5">
        <v>2.1999999999999999E-2</v>
      </c>
      <c r="D5">
        <v>37.06</v>
      </c>
    </row>
    <row r="6" spans="1:4" x14ac:dyDescent="0.25">
      <c r="A6">
        <v>1.29E-2</v>
      </c>
      <c r="D6">
        <v>32.21</v>
      </c>
    </row>
    <row r="7" spans="1:4" x14ac:dyDescent="0.25">
      <c r="A7">
        <v>7.4999999999999997E-3</v>
      </c>
      <c r="D7">
        <v>28.32</v>
      </c>
    </row>
    <row r="8" spans="1:4" x14ac:dyDescent="0.25">
      <c r="A8">
        <v>4.5999999999999999E-3</v>
      </c>
      <c r="D8">
        <v>25.4</v>
      </c>
    </row>
    <row r="9" spans="1:4" x14ac:dyDescent="0.25">
      <c r="A9">
        <v>3.3E-3</v>
      </c>
      <c r="D9">
        <v>23.45</v>
      </c>
    </row>
    <row r="10" spans="1:4" x14ac:dyDescent="0.25">
      <c r="A10">
        <v>2.7000000000000001E-3</v>
      </c>
      <c r="D10">
        <v>22.48</v>
      </c>
    </row>
    <row r="11" spans="1:4" x14ac:dyDescent="0.25">
      <c r="A11">
        <v>2.3999999999999998E-3</v>
      </c>
      <c r="D11">
        <v>21.51</v>
      </c>
    </row>
    <row r="12" spans="1:4" x14ac:dyDescent="0.25">
      <c r="A12">
        <v>1.9E-3</v>
      </c>
      <c r="D12">
        <v>20.55</v>
      </c>
    </row>
    <row r="13" spans="1:4" x14ac:dyDescent="0.25">
      <c r="A13">
        <v>1.4E-3</v>
      </c>
      <c r="D13">
        <v>20.55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237AF-D6EB-4A4A-B44A-743F7AA61B55}">
  <dimension ref="A1:D23"/>
  <sheetViews>
    <sheetView workbookViewId="0">
      <selection activeCell="A2" sqref="A2:A23"/>
    </sheetView>
  </sheetViews>
  <sheetFormatPr baseColWidth="10" defaultRowHeight="15.75" x14ac:dyDescent="0.25"/>
  <cols>
    <col min="1" max="1" width="21.75" bestFit="1" customWidth="1"/>
    <col min="2" max="2" width="23.25" bestFit="1" customWidth="1"/>
    <col min="3" max="3" width="16.125" bestFit="1" customWidth="1"/>
    <col min="4" max="4" width="10.375" bestFit="1" customWidth="1"/>
  </cols>
  <sheetData>
    <row r="1" spans="1:4" x14ac:dyDescent="0.25">
      <c r="A1" t="s">
        <v>84</v>
      </c>
      <c r="B1" t="s">
        <v>85</v>
      </c>
      <c r="C1" t="s">
        <v>86</v>
      </c>
      <c r="D1" t="s">
        <v>87</v>
      </c>
    </row>
    <row r="2" spans="1:4" x14ac:dyDescent="0.25">
      <c r="A2">
        <v>10</v>
      </c>
      <c r="B2">
        <v>0</v>
      </c>
      <c r="C2">
        <v>0</v>
      </c>
      <c r="D2">
        <f>(100-C2)</f>
        <v>100</v>
      </c>
    </row>
    <row r="3" spans="1:4" x14ac:dyDescent="0.25">
      <c r="A3">
        <v>8</v>
      </c>
      <c r="B3">
        <v>0</v>
      </c>
      <c r="C3">
        <v>0</v>
      </c>
      <c r="D3">
        <f t="shared" ref="D3:D23" si="0">(100-C3)</f>
        <v>100</v>
      </c>
    </row>
    <row r="4" spans="1:4" x14ac:dyDescent="0.25">
      <c r="A4">
        <v>6.3</v>
      </c>
      <c r="B4">
        <v>0</v>
      </c>
      <c r="C4">
        <v>0</v>
      </c>
      <c r="D4">
        <f t="shared" si="0"/>
        <v>100</v>
      </c>
    </row>
    <row r="5" spans="1:4" x14ac:dyDescent="0.25">
      <c r="A5">
        <v>5</v>
      </c>
      <c r="B5">
        <v>0.27</v>
      </c>
      <c r="C5">
        <v>0.02</v>
      </c>
      <c r="D5">
        <f t="shared" si="0"/>
        <v>99.98</v>
      </c>
    </row>
    <row r="6" spans="1:4" x14ac:dyDescent="0.25">
      <c r="A6">
        <v>4</v>
      </c>
      <c r="B6">
        <v>0.73</v>
      </c>
      <c r="C6">
        <v>0.05</v>
      </c>
      <c r="D6">
        <f t="shared" si="0"/>
        <v>99.95</v>
      </c>
    </row>
    <row r="7" spans="1:4" x14ac:dyDescent="0.25">
      <c r="A7">
        <v>3.15</v>
      </c>
      <c r="B7">
        <v>4.66</v>
      </c>
      <c r="C7">
        <v>0.33</v>
      </c>
      <c r="D7">
        <f t="shared" si="0"/>
        <v>99.67</v>
      </c>
    </row>
    <row r="8" spans="1:4" x14ac:dyDescent="0.25">
      <c r="A8">
        <v>2.5</v>
      </c>
      <c r="B8">
        <v>13.38</v>
      </c>
      <c r="C8">
        <v>0.96</v>
      </c>
      <c r="D8">
        <f t="shared" si="0"/>
        <v>99.04</v>
      </c>
    </row>
    <row r="9" spans="1:4" x14ac:dyDescent="0.25">
      <c r="A9">
        <v>2</v>
      </c>
      <c r="B9">
        <v>27.01</v>
      </c>
      <c r="C9">
        <v>1.94</v>
      </c>
      <c r="D9">
        <f t="shared" si="0"/>
        <v>98.06</v>
      </c>
    </row>
    <row r="10" spans="1:4" x14ac:dyDescent="0.25">
      <c r="A10">
        <v>1.6</v>
      </c>
      <c r="B10">
        <v>48.41</v>
      </c>
      <c r="C10">
        <v>3.47</v>
      </c>
      <c r="D10">
        <f t="shared" si="0"/>
        <v>96.53</v>
      </c>
    </row>
    <row r="11" spans="1:4" x14ac:dyDescent="0.25">
      <c r="A11">
        <v>1.25</v>
      </c>
      <c r="B11">
        <v>76.48</v>
      </c>
      <c r="C11">
        <v>5.48</v>
      </c>
      <c r="D11">
        <f t="shared" si="0"/>
        <v>94.52</v>
      </c>
    </row>
    <row r="12" spans="1:4" x14ac:dyDescent="0.25">
      <c r="A12">
        <v>1</v>
      </c>
      <c r="B12">
        <v>101.97</v>
      </c>
      <c r="C12">
        <v>7.31</v>
      </c>
      <c r="D12">
        <f t="shared" si="0"/>
        <v>92.69</v>
      </c>
    </row>
    <row r="13" spans="1:4" x14ac:dyDescent="0.25">
      <c r="A13">
        <v>0.8</v>
      </c>
      <c r="B13">
        <v>130.97</v>
      </c>
      <c r="C13">
        <v>9.39</v>
      </c>
      <c r="D13">
        <f t="shared" si="0"/>
        <v>90.61</v>
      </c>
    </row>
    <row r="14" spans="1:4" x14ac:dyDescent="0.25">
      <c r="A14">
        <v>0.63</v>
      </c>
      <c r="B14">
        <v>162.32</v>
      </c>
      <c r="C14">
        <v>11.64</v>
      </c>
      <c r="D14">
        <f t="shared" si="0"/>
        <v>88.36</v>
      </c>
    </row>
    <row r="15" spans="1:4" x14ac:dyDescent="0.25">
      <c r="A15">
        <v>0.5</v>
      </c>
      <c r="B15">
        <v>209.18</v>
      </c>
      <c r="C15">
        <v>14.99</v>
      </c>
      <c r="D15">
        <f t="shared" si="0"/>
        <v>85.01</v>
      </c>
    </row>
    <row r="16" spans="1:4" x14ac:dyDescent="0.25">
      <c r="A16">
        <v>0.4</v>
      </c>
      <c r="B16">
        <v>245.53</v>
      </c>
      <c r="C16">
        <v>17.600000000000001</v>
      </c>
      <c r="D16">
        <f t="shared" si="0"/>
        <v>82.4</v>
      </c>
    </row>
    <row r="17" spans="1:4" x14ac:dyDescent="0.25">
      <c r="A17">
        <v>0.315</v>
      </c>
      <c r="B17">
        <v>298.44</v>
      </c>
      <c r="C17">
        <v>21.39</v>
      </c>
      <c r="D17">
        <f t="shared" si="0"/>
        <v>78.61</v>
      </c>
    </row>
    <row r="18" spans="1:4" x14ac:dyDescent="0.25">
      <c r="A18">
        <v>0.25</v>
      </c>
      <c r="B18">
        <v>345.54</v>
      </c>
      <c r="C18">
        <v>24.77</v>
      </c>
      <c r="D18">
        <f t="shared" si="0"/>
        <v>75.23</v>
      </c>
    </row>
    <row r="19" spans="1:4" x14ac:dyDescent="0.25">
      <c r="A19">
        <v>0.2</v>
      </c>
      <c r="B19">
        <v>405.85</v>
      </c>
      <c r="C19">
        <v>29.09</v>
      </c>
      <c r="D19">
        <f t="shared" si="0"/>
        <v>70.91</v>
      </c>
    </row>
    <row r="20" spans="1:4" x14ac:dyDescent="0.25">
      <c r="A20">
        <v>0.16</v>
      </c>
      <c r="B20">
        <v>474.85</v>
      </c>
      <c r="C20">
        <v>34.04</v>
      </c>
      <c r="D20">
        <f t="shared" si="0"/>
        <v>65.960000000000008</v>
      </c>
    </row>
    <row r="21" spans="1:4" x14ac:dyDescent="0.25">
      <c r="A21">
        <v>0.125</v>
      </c>
      <c r="B21">
        <v>571.86</v>
      </c>
      <c r="C21">
        <v>40.99</v>
      </c>
      <c r="D21">
        <f t="shared" si="0"/>
        <v>59.01</v>
      </c>
    </row>
    <row r="22" spans="1:4" x14ac:dyDescent="0.25">
      <c r="A22">
        <v>0.1</v>
      </c>
      <c r="B22">
        <v>612.58000000000004</v>
      </c>
      <c r="C22">
        <v>43.91</v>
      </c>
      <c r="D22">
        <f t="shared" si="0"/>
        <v>56.09</v>
      </c>
    </row>
    <row r="23" spans="1:4" x14ac:dyDescent="0.25">
      <c r="A23">
        <v>0.08</v>
      </c>
      <c r="B23">
        <v>633.83000000000004</v>
      </c>
      <c r="C23">
        <v>45.43</v>
      </c>
      <c r="D23">
        <f t="shared" si="0"/>
        <v>54.57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452DD-4E66-4DAE-8349-850F026E29D7}">
  <dimension ref="A1:D13"/>
  <sheetViews>
    <sheetView workbookViewId="0">
      <selection activeCell="E15" sqref="E15"/>
    </sheetView>
  </sheetViews>
  <sheetFormatPr baseColWidth="10" defaultRowHeight="15.75" x14ac:dyDescent="0.25"/>
  <cols>
    <col min="1" max="1" width="21.75" bestFit="1" customWidth="1"/>
    <col min="2" max="2" width="23.25" bestFit="1" customWidth="1"/>
    <col min="3" max="3" width="16.125" bestFit="1" customWidth="1"/>
    <col min="4" max="4" width="10.375" bestFit="1" customWidth="1"/>
  </cols>
  <sheetData>
    <row r="1" spans="1:4" x14ac:dyDescent="0.25">
      <c r="A1" t="s">
        <v>84</v>
      </c>
      <c r="B1" t="s">
        <v>85</v>
      </c>
      <c r="C1" t="s">
        <v>86</v>
      </c>
      <c r="D1" t="s">
        <v>87</v>
      </c>
    </row>
    <row r="2" spans="1:4" x14ac:dyDescent="0.25">
      <c r="A2">
        <v>6.4899999999999999E-2</v>
      </c>
      <c r="D2">
        <v>34.659999999999997</v>
      </c>
    </row>
    <row r="3" spans="1:4" x14ac:dyDescent="0.25">
      <c r="A3">
        <v>4.6699999999999998E-2</v>
      </c>
      <c r="D3">
        <v>31.4</v>
      </c>
    </row>
    <row r="4" spans="1:4" x14ac:dyDescent="0.25">
      <c r="A4">
        <v>3.3399999999999999E-2</v>
      </c>
      <c r="D4">
        <v>28.79</v>
      </c>
    </row>
    <row r="5" spans="1:4" x14ac:dyDescent="0.25">
      <c r="A5">
        <v>2.1399999999999999E-2</v>
      </c>
      <c r="D5">
        <v>26.83</v>
      </c>
    </row>
    <row r="6" spans="1:4" x14ac:dyDescent="0.25">
      <c r="A6">
        <v>1.2500000000000001E-2</v>
      </c>
      <c r="D6">
        <v>24.22</v>
      </c>
    </row>
    <row r="7" spans="1:4" x14ac:dyDescent="0.25">
      <c r="A7">
        <v>7.3000000000000001E-3</v>
      </c>
      <c r="D7">
        <v>22.92</v>
      </c>
    </row>
    <row r="8" spans="1:4" x14ac:dyDescent="0.25">
      <c r="A8">
        <v>4.4999999999999997E-3</v>
      </c>
      <c r="D8">
        <v>21.09</v>
      </c>
    </row>
    <row r="9" spans="1:4" x14ac:dyDescent="0.25">
      <c r="A9">
        <v>3.2000000000000002E-3</v>
      </c>
      <c r="D9">
        <v>19.78</v>
      </c>
    </row>
    <row r="10" spans="1:4" x14ac:dyDescent="0.25">
      <c r="A10">
        <v>2.5999999999999999E-3</v>
      </c>
      <c r="D10">
        <v>19</v>
      </c>
    </row>
    <row r="11" spans="1:4" x14ac:dyDescent="0.25">
      <c r="A11">
        <v>2.3E-3</v>
      </c>
      <c r="D11">
        <v>18.09</v>
      </c>
    </row>
    <row r="12" spans="1:4" x14ac:dyDescent="0.25">
      <c r="A12">
        <v>1.9E-3</v>
      </c>
      <c r="D12">
        <v>17.04</v>
      </c>
    </row>
    <row r="13" spans="1:4" x14ac:dyDescent="0.25">
      <c r="A13">
        <v>1.2999999999999999E-3</v>
      </c>
      <c r="D13">
        <v>17.05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CD0D1-4465-4567-9D0F-BD77DB0E750A}">
  <dimension ref="A1:D23"/>
  <sheetViews>
    <sheetView workbookViewId="0">
      <selection activeCell="G11" sqref="G11"/>
    </sheetView>
  </sheetViews>
  <sheetFormatPr baseColWidth="10" defaultRowHeight="15.75" x14ac:dyDescent="0.25"/>
  <sheetData>
    <row r="1" spans="1:4" x14ac:dyDescent="0.25">
      <c r="A1" t="s">
        <v>84</v>
      </c>
      <c r="B1" t="s">
        <v>85</v>
      </c>
      <c r="C1" t="s">
        <v>86</v>
      </c>
      <c r="D1" t="s">
        <v>87</v>
      </c>
    </row>
    <row r="2" spans="1:4" x14ac:dyDescent="0.25">
      <c r="A2">
        <v>10</v>
      </c>
      <c r="B2">
        <v>0</v>
      </c>
      <c r="C2">
        <v>0</v>
      </c>
      <c r="D2">
        <f>(100-C2)</f>
        <v>100</v>
      </c>
    </row>
    <row r="3" spans="1:4" x14ac:dyDescent="0.25">
      <c r="A3">
        <v>8</v>
      </c>
      <c r="B3">
        <v>0</v>
      </c>
      <c r="C3">
        <v>0</v>
      </c>
      <c r="D3">
        <f t="shared" ref="D3:D23" si="0">(100-C3)</f>
        <v>100</v>
      </c>
    </row>
    <row r="4" spans="1:4" x14ac:dyDescent="0.25">
      <c r="A4">
        <v>6.3</v>
      </c>
      <c r="B4">
        <v>0</v>
      </c>
      <c r="C4">
        <v>0</v>
      </c>
      <c r="D4">
        <f t="shared" si="0"/>
        <v>100</v>
      </c>
    </row>
    <row r="5" spans="1:4" x14ac:dyDescent="0.25">
      <c r="A5">
        <v>5</v>
      </c>
      <c r="B5">
        <v>0</v>
      </c>
      <c r="C5">
        <v>0</v>
      </c>
      <c r="D5">
        <f t="shared" si="0"/>
        <v>100</v>
      </c>
    </row>
    <row r="6" spans="1:4" x14ac:dyDescent="0.25">
      <c r="A6">
        <v>4</v>
      </c>
      <c r="B6">
        <v>2.94</v>
      </c>
      <c r="C6">
        <v>0.21</v>
      </c>
      <c r="D6">
        <f t="shared" si="0"/>
        <v>99.79</v>
      </c>
    </row>
    <row r="7" spans="1:4" x14ac:dyDescent="0.25">
      <c r="A7">
        <v>3.15</v>
      </c>
      <c r="B7">
        <v>17.920000000000002</v>
      </c>
      <c r="C7">
        <v>1.27</v>
      </c>
      <c r="D7">
        <f t="shared" si="0"/>
        <v>98.73</v>
      </c>
    </row>
    <row r="8" spans="1:4" x14ac:dyDescent="0.25">
      <c r="A8">
        <v>2.5</v>
      </c>
      <c r="B8">
        <v>60.4</v>
      </c>
      <c r="C8">
        <v>4.28</v>
      </c>
      <c r="D8">
        <f t="shared" si="0"/>
        <v>95.72</v>
      </c>
    </row>
    <row r="9" spans="1:4" x14ac:dyDescent="0.25">
      <c r="A9">
        <v>2</v>
      </c>
      <c r="B9">
        <v>123.36</v>
      </c>
      <c r="C9">
        <v>8.73</v>
      </c>
      <c r="D9">
        <f t="shared" si="0"/>
        <v>91.27</v>
      </c>
    </row>
    <row r="10" spans="1:4" x14ac:dyDescent="0.25">
      <c r="A10">
        <v>1.6</v>
      </c>
      <c r="B10">
        <v>199.25</v>
      </c>
      <c r="C10">
        <v>14.11</v>
      </c>
      <c r="D10">
        <f t="shared" si="0"/>
        <v>85.89</v>
      </c>
    </row>
    <row r="11" spans="1:4" x14ac:dyDescent="0.25">
      <c r="A11">
        <v>1.25</v>
      </c>
      <c r="B11">
        <v>295.47000000000003</v>
      </c>
      <c r="C11">
        <v>20.92</v>
      </c>
      <c r="D11">
        <f t="shared" si="0"/>
        <v>79.08</v>
      </c>
    </row>
    <row r="12" spans="1:4" x14ac:dyDescent="0.25">
      <c r="A12">
        <v>1</v>
      </c>
      <c r="B12">
        <v>366.72</v>
      </c>
      <c r="C12">
        <v>25.97</v>
      </c>
      <c r="D12">
        <f t="shared" si="0"/>
        <v>74.03</v>
      </c>
    </row>
    <row r="13" spans="1:4" x14ac:dyDescent="0.25">
      <c r="A13">
        <v>0.8</v>
      </c>
      <c r="B13">
        <v>431.81</v>
      </c>
      <c r="C13">
        <v>30.58</v>
      </c>
      <c r="D13">
        <f t="shared" si="0"/>
        <v>69.42</v>
      </c>
    </row>
    <row r="14" spans="1:4" x14ac:dyDescent="0.25">
      <c r="A14">
        <v>0.63</v>
      </c>
      <c r="B14">
        <v>490.41</v>
      </c>
      <c r="C14">
        <v>34.72</v>
      </c>
      <c r="D14">
        <f t="shared" si="0"/>
        <v>65.28</v>
      </c>
    </row>
    <row r="15" spans="1:4" x14ac:dyDescent="0.25">
      <c r="A15">
        <v>0.5</v>
      </c>
      <c r="B15">
        <v>563.22</v>
      </c>
      <c r="C15">
        <v>39.880000000000003</v>
      </c>
      <c r="D15">
        <f t="shared" si="0"/>
        <v>60.12</v>
      </c>
    </row>
    <row r="16" spans="1:4" x14ac:dyDescent="0.25">
      <c r="A16">
        <v>0.4</v>
      </c>
      <c r="B16">
        <v>609.59</v>
      </c>
      <c r="C16">
        <v>43.16</v>
      </c>
      <c r="D16">
        <f t="shared" si="0"/>
        <v>56.84</v>
      </c>
    </row>
    <row r="17" spans="1:4" x14ac:dyDescent="0.25">
      <c r="A17">
        <v>0.315</v>
      </c>
      <c r="B17">
        <v>667.83</v>
      </c>
      <c r="C17">
        <v>47.29</v>
      </c>
      <c r="D17">
        <f t="shared" si="0"/>
        <v>52.71</v>
      </c>
    </row>
    <row r="18" spans="1:4" x14ac:dyDescent="0.25">
      <c r="A18">
        <v>0.25</v>
      </c>
      <c r="B18">
        <v>713.52</v>
      </c>
      <c r="C18">
        <v>50.52</v>
      </c>
      <c r="D18">
        <f t="shared" si="0"/>
        <v>49.48</v>
      </c>
    </row>
    <row r="19" spans="1:4" x14ac:dyDescent="0.25">
      <c r="A19">
        <v>0.2</v>
      </c>
      <c r="B19">
        <v>767.75</v>
      </c>
      <c r="C19">
        <v>54.36</v>
      </c>
      <c r="D19">
        <f t="shared" si="0"/>
        <v>45.64</v>
      </c>
    </row>
    <row r="20" spans="1:4" x14ac:dyDescent="0.25">
      <c r="A20">
        <v>0.16</v>
      </c>
      <c r="B20">
        <v>806.26</v>
      </c>
      <c r="C20">
        <v>57.09</v>
      </c>
      <c r="D20">
        <f t="shared" si="0"/>
        <v>42.91</v>
      </c>
    </row>
    <row r="21" spans="1:4" x14ac:dyDescent="0.25">
      <c r="A21">
        <v>0.125</v>
      </c>
      <c r="B21">
        <v>875.39</v>
      </c>
      <c r="C21">
        <v>61.98</v>
      </c>
      <c r="D21">
        <f t="shared" si="0"/>
        <v>38.020000000000003</v>
      </c>
    </row>
    <row r="22" spans="1:4" x14ac:dyDescent="0.25">
      <c r="A22">
        <v>0.1</v>
      </c>
      <c r="B22">
        <v>893.84</v>
      </c>
      <c r="C22">
        <v>63.29</v>
      </c>
      <c r="D22">
        <f t="shared" si="0"/>
        <v>36.71</v>
      </c>
    </row>
    <row r="23" spans="1:4" x14ac:dyDescent="0.25">
      <c r="A23">
        <v>0.08</v>
      </c>
      <c r="B23">
        <v>902.08</v>
      </c>
      <c r="C23">
        <v>63.87</v>
      </c>
      <c r="D23">
        <f t="shared" si="0"/>
        <v>36.130000000000003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Sheet 1</vt:lpstr>
      <vt:lpstr> Sanfatoute AGT passant</vt:lpstr>
      <vt:lpstr>Sanfatoute AGS passant</vt:lpstr>
      <vt:lpstr>Densité</vt:lpstr>
      <vt:lpstr>Limite sanfatoute</vt:lpstr>
      <vt:lpstr>Bleu</vt:lpstr>
      <vt:lpstr>Teneur en eau</vt:lpstr>
      <vt:lpstr>Classification</vt:lpstr>
      <vt:lpstr>AGS Korbongou ALL 1</vt:lpstr>
      <vt:lpstr>AGT Korbongou ALL 1</vt:lpstr>
      <vt:lpstr>AGS Korbongou ALL 1,5</vt:lpstr>
      <vt:lpstr>AGT Korbongou ALL 1,5</vt:lpstr>
      <vt:lpstr>AGS Korbongou ALL 2</vt:lpstr>
      <vt:lpstr>AGT Korbongou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serge TABE DJATO</cp:lastModifiedBy>
  <dcterms:modified xsi:type="dcterms:W3CDTF">2025-10-22T04:49:34Z</dcterms:modified>
</cp:coreProperties>
</file>