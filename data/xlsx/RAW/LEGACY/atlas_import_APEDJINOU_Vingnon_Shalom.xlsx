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866EB41-2AE0-4695-A60F-67F6239B1A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anulo_tamisage_large" sheetId="6" r:id="rId1"/>
    <sheet name="granulo_sedimento_large" sheetId="7" r:id="rId2"/>
    <sheet name="atterberg" sheetId="10" r:id="rId3"/>
    <sheet name="vbs" sheetId="11" r:id="rId4"/>
    <sheet name="teneur_eau" sheetId="12" r:id="rId5"/>
    <sheet name="classification" sheetId="13" r:id="rId6"/>
    <sheet name="sondages" sheetId="14" r:id="rId7"/>
    <sheet name="echantillons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1" l="1"/>
  <c r="D9" i="11"/>
  <c r="D8" i="11"/>
  <c r="D5" i="11"/>
</calcChain>
</file>

<file path=xl/sharedStrings.xml><?xml version="1.0" encoding="utf-8"?>
<sst xmlns="http://schemas.openxmlformats.org/spreadsheetml/2006/main" count="151" uniqueCount="55">
  <si>
    <t>sieve_mm</t>
  </si>
  <si>
    <t>code_site</t>
  </si>
  <si>
    <t>depth_m</t>
  </si>
  <si>
    <t>wl</t>
  </si>
  <si>
    <t>wp</t>
  </si>
  <si>
    <t>ip</t>
  </si>
  <si>
    <t>vbs</t>
  </si>
  <si>
    <t>commentaire</t>
  </si>
  <si>
    <t>sol limoneux de plasticité moyenne</t>
  </si>
  <si>
    <t>w</t>
  </si>
  <si>
    <t>is</t>
  </si>
  <si>
    <t>hrb</t>
  </si>
  <si>
    <t>unified</t>
  </si>
  <si>
    <t>Sol argileux peu plastique</t>
  </si>
  <si>
    <t>localite</t>
  </si>
  <si>
    <t>date</t>
  </si>
  <si>
    <t>source</t>
  </si>
  <si>
    <t>lat</t>
  </si>
  <si>
    <t>lon</t>
  </si>
  <si>
    <t>adm1</t>
  </si>
  <si>
    <t>adm2</t>
  </si>
  <si>
    <t>adm3</t>
  </si>
  <si>
    <t>Apeheme</t>
  </si>
  <si>
    <t>Davie</t>
  </si>
  <si>
    <t>Dzogbecope</t>
  </si>
  <si>
    <t>laboratory</t>
  </si>
  <si>
    <t>rho_s_gcm3</t>
  </si>
  <si>
    <t>water_content_w</t>
  </si>
  <si>
    <t>is_index</t>
  </si>
  <si>
    <t>BATO</t>
  </si>
  <si>
    <t>LAHE</t>
  </si>
  <si>
    <t>KPOTA</t>
  </si>
  <si>
    <t>HAHO</t>
  </si>
  <si>
    <t>APEDJINOU Vingnon Shalom</t>
  </si>
  <si>
    <t>FORMATEC</t>
  </si>
  <si>
    <t>;</t>
  </si>
  <si>
    <t>sol argileux</t>
  </si>
  <si>
    <t>A-7-5</t>
  </si>
  <si>
    <t>Sol limoneux très plastique</t>
  </si>
  <si>
    <t>Sol argileux très plastique</t>
  </si>
  <si>
    <t>Sol organique peu plastique</t>
  </si>
  <si>
    <t>Sol organique très plastique</t>
  </si>
  <si>
    <t>A-1b</t>
  </si>
  <si>
    <t>A-2-5</t>
  </si>
  <si>
    <t>-</t>
  </si>
  <si>
    <t>LAHE@1.0</t>
  </si>
  <si>
    <t>LAHE@1.5</t>
  </si>
  <si>
    <t>LAHE@2</t>
  </si>
  <si>
    <t>BATO@1.0</t>
  </si>
  <si>
    <t>BATO@1.5</t>
  </si>
  <si>
    <t>BATO@2.0</t>
  </si>
  <si>
    <t>KPOTA@1.0</t>
  </si>
  <si>
    <t>KPOTA@1.5</t>
  </si>
  <si>
    <t>KPOTA@2.0</t>
  </si>
  <si>
    <t>LAHE@2.0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</si>
</sst>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17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1" applyBorder="1" applyAlignment="1">
      <alignment horizontal="center" vertical="top"/>
    </xf>
    <xf numFmtId="168" fontId="0" fillId="0" borderId="0" xfId="0" applyNumberFormat="1"/>
    <xf numFmtId="168" fontId="0" fillId="0" borderId="0" xfId="0" applyNumberFormat="1" applyFill="1"/>
    <xf numFmtId="0" fontId="0" fillId="0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POTA@1.5" TargetMode="External"/><Relationship Id="rId3" Type="http://schemas.openxmlformats.org/officeDocument/2006/relationships/hyperlink" Target="mailto:LAHE@2" TargetMode="External"/><Relationship Id="rId7" Type="http://schemas.openxmlformats.org/officeDocument/2006/relationships/hyperlink" Target="mailto:KPOTA@1.0" TargetMode="External"/><Relationship Id="rId2" Type="http://schemas.openxmlformats.org/officeDocument/2006/relationships/hyperlink" Target="mailto:LAHE@1.5" TargetMode="External"/><Relationship Id="rId1" Type="http://schemas.openxmlformats.org/officeDocument/2006/relationships/hyperlink" Target="mailto:LAHE@1.0" TargetMode="External"/><Relationship Id="rId6" Type="http://schemas.openxmlformats.org/officeDocument/2006/relationships/hyperlink" Target="mailto:BATO@2.0" TargetMode="External"/><Relationship Id="rId5" Type="http://schemas.openxmlformats.org/officeDocument/2006/relationships/hyperlink" Target="mailto:BATO@1.5" TargetMode="External"/><Relationship Id="rId4" Type="http://schemas.openxmlformats.org/officeDocument/2006/relationships/hyperlink" Target="mailto:BATO@1.0" TargetMode="External"/><Relationship Id="rId9" Type="http://schemas.openxmlformats.org/officeDocument/2006/relationships/hyperlink" Target="mailto:KPOTA@2.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POTA@1.5" TargetMode="External"/><Relationship Id="rId3" Type="http://schemas.openxmlformats.org/officeDocument/2006/relationships/hyperlink" Target="mailto:LAHE@2.0" TargetMode="External"/><Relationship Id="rId7" Type="http://schemas.openxmlformats.org/officeDocument/2006/relationships/hyperlink" Target="mailto:KPOTA@2.0" TargetMode="External"/><Relationship Id="rId2" Type="http://schemas.openxmlformats.org/officeDocument/2006/relationships/hyperlink" Target="mailto:LAHE@1.5" TargetMode="External"/><Relationship Id="rId1" Type="http://schemas.openxmlformats.org/officeDocument/2006/relationships/hyperlink" Target="mailto:LAHE@1.0" TargetMode="External"/><Relationship Id="rId6" Type="http://schemas.openxmlformats.org/officeDocument/2006/relationships/hyperlink" Target="mailto:BATO@2.0" TargetMode="External"/><Relationship Id="rId5" Type="http://schemas.openxmlformats.org/officeDocument/2006/relationships/hyperlink" Target="mailto:BATO@1.5" TargetMode="External"/><Relationship Id="rId4" Type="http://schemas.openxmlformats.org/officeDocument/2006/relationships/hyperlink" Target="mailto:BATO@1.0" TargetMode="External"/><Relationship Id="rId9" Type="http://schemas.openxmlformats.org/officeDocument/2006/relationships/hyperlink" Target="mailto:KPOTA@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4F17-6B21-47B3-8DC6-6D614FCD1B63}">
  <dimension ref="A1:J28"/>
  <sheetViews>
    <sheetView tabSelected="1" zoomScaleNormal="100" workbookViewId="0">
      <selection activeCell="J29" sqref="J29"/>
    </sheetView>
  </sheetViews>
  <sheetFormatPr baseColWidth="10" defaultColWidth="9.140625" defaultRowHeight="15" x14ac:dyDescent="0.25"/>
  <cols>
    <col min="1" max="1" width="10.140625" bestFit="1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</row>
    <row r="2" spans="1:10" x14ac:dyDescent="0.25">
      <c r="A2">
        <v>31.5</v>
      </c>
      <c r="B2">
        <v>100</v>
      </c>
      <c r="C2">
        <v>100</v>
      </c>
      <c r="D2">
        <v>100</v>
      </c>
    </row>
    <row r="3" spans="1:10" x14ac:dyDescent="0.25">
      <c r="A3">
        <v>25</v>
      </c>
      <c r="B3">
        <v>100</v>
      </c>
      <c r="C3">
        <v>100</v>
      </c>
      <c r="D3">
        <v>99.29</v>
      </c>
    </row>
    <row r="4" spans="1:10" x14ac:dyDescent="0.25">
      <c r="A4">
        <v>20</v>
      </c>
      <c r="B4">
        <v>100</v>
      </c>
      <c r="C4">
        <v>100</v>
      </c>
      <c r="D4">
        <v>97.72</v>
      </c>
      <c r="E4">
        <v>100</v>
      </c>
      <c r="F4">
        <v>100</v>
      </c>
      <c r="G4">
        <v>100</v>
      </c>
    </row>
    <row r="5" spans="1:10" x14ac:dyDescent="0.25">
      <c r="A5">
        <v>16</v>
      </c>
      <c r="B5">
        <v>100</v>
      </c>
      <c r="C5">
        <v>100</v>
      </c>
      <c r="D5">
        <v>96.73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</row>
    <row r="6" spans="1:10" x14ac:dyDescent="0.25">
      <c r="A6">
        <v>12.5</v>
      </c>
      <c r="B6">
        <v>100</v>
      </c>
      <c r="C6">
        <v>99.17</v>
      </c>
      <c r="D6">
        <v>96.13</v>
      </c>
      <c r="E6">
        <v>99.87</v>
      </c>
      <c r="F6">
        <v>99.74</v>
      </c>
      <c r="G6">
        <v>100</v>
      </c>
      <c r="H6">
        <v>99.74</v>
      </c>
      <c r="I6">
        <v>100</v>
      </c>
      <c r="J6">
        <v>99.85</v>
      </c>
    </row>
    <row r="7" spans="1:10" x14ac:dyDescent="0.25">
      <c r="A7">
        <v>10</v>
      </c>
      <c r="B7">
        <v>100</v>
      </c>
      <c r="C7">
        <v>98.96</v>
      </c>
      <c r="D7">
        <v>95.89</v>
      </c>
      <c r="E7">
        <v>99.73</v>
      </c>
      <c r="F7">
        <v>99.52</v>
      </c>
      <c r="G7">
        <v>100</v>
      </c>
      <c r="H7">
        <v>99.61</v>
      </c>
      <c r="I7">
        <v>99.92</v>
      </c>
      <c r="J7">
        <v>99.85</v>
      </c>
    </row>
    <row r="8" spans="1:10" x14ac:dyDescent="0.25">
      <c r="A8">
        <v>8</v>
      </c>
      <c r="B8">
        <v>99.96</v>
      </c>
      <c r="C8">
        <v>98.64</v>
      </c>
      <c r="D8">
        <v>95.19</v>
      </c>
      <c r="E8">
        <v>99.25</v>
      </c>
      <c r="F8">
        <v>99.35</v>
      </c>
      <c r="G8">
        <v>100</v>
      </c>
      <c r="H8">
        <v>99.45</v>
      </c>
      <c r="I8">
        <v>99.66</v>
      </c>
      <c r="J8">
        <v>99.72</v>
      </c>
    </row>
    <row r="9" spans="1:10" x14ac:dyDescent="0.25">
      <c r="A9">
        <v>6.3</v>
      </c>
      <c r="B9">
        <v>99.91</v>
      </c>
      <c r="C9">
        <v>98.49</v>
      </c>
      <c r="D9">
        <v>95.01</v>
      </c>
      <c r="E9">
        <v>99.08</v>
      </c>
      <c r="F9">
        <v>99.17</v>
      </c>
      <c r="G9">
        <v>99.84</v>
      </c>
      <c r="H9">
        <v>99.17</v>
      </c>
      <c r="I9">
        <v>99.33</v>
      </c>
      <c r="J9">
        <v>99.59</v>
      </c>
    </row>
    <row r="10" spans="1:10" x14ac:dyDescent="0.25">
      <c r="A10">
        <v>5</v>
      </c>
      <c r="B10">
        <v>99.78</v>
      </c>
      <c r="C10">
        <v>98.2</v>
      </c>
      <c r="D10">
        <v>94.72</v>
      </c>
      <c r="E10">
        <v>97.73</v>
      </c>
      <c r="F10">
        <v>98.95</v>
      </c>
      <c r="G10">
        <v>99.7</v>
      </c>
      <c r="H10">
        <v>98.8</v>
      </c>
      <c r="I10">
        <v>99.07</v>
      </c>
      <c r="J10">
        <v>99.32</v>
      </c>
    </row>
    <row r="11" spans="1:10" x14ac:dyDescent="0.25">
      <c r="A11">
        <v>4</v>
      </c>
      <c r="B11">
        <v>99.16</v>
      </c>
      <c r="C11">
        <v>97.81</v>
      </c>
      <c r="D11">
        <v>94.45</v>
      </c>
      <c r="E11">
        <v>96.61</v>
      </c>
      <c r="F11">
        <v>98.7</v>
      </c>
      <c r="G11">
        <v>99.5</v>
      </c>
      <c r="H11">
        <v>98.14</v>
      </c>
      <c r="I11">
        <v>98.41</v>
      </c>
      <c r="J11">
        <v>98.91</v>
      </c>
    </row>
    <row r="12" spans="1:10" x14ac:dyDescent="0.25">
      <c r="A12">
        <v>3.15</v>
      </c>
      <c r="B12">
        <v>96.66</v>
      </c>
      <c r="C12">
        <v>96.94</v>
      </c>
      <c r="D12">
        <v>93.8</v>
      </c>
      <c r="E12">
        <v>94.97</v>
      </c>
      <c r="F12">
        <v>98.14</v>
      </c>
      <c r="G12">
        <v>99.06</v>
      </c>
      <c r="H12">
        <v>96.98</v>
      </c>
      <c r="I12">
        <v>97.47</v>
      </c>
      <c r="J12">
        <v>98.18</v>
      </c>
    </row>
    <row r="13" spans="1:10" x14ac:dyDescent="0.25">
      <c r="A13">
        <v>2.5</v>
      </c>
      <c r="B13">
        <v>92.3</v>
      </c>
      <c r="C13">
        <v>95.52</v>
      </c>
      <c r="D13">
        <v>92.78</v>
      </c>
      <c r="E13">
        <v>92.77</v>
      </c>
      <c r="F13">
        <v>97.13</v>
      </c>
      <c r="G13">
        <v>98.49</v>
      </c>
      <c r="H13">
        <v>95.33</v>
      </c>
      <c r="I13">
        <v>96</v>
      </c>
      <c r="J13">
        <v>96.88</v>
      </c>
    </row>
    <row r="14" spans="1:10" x14ac:dyDescent="0.25">
      <c r="A14">
        <v>2</v>
      </c>
      <c r="B14">
        <v>87.83</v>
      </c>
      <c r="C14">
        <v>93.27</v>
      </c>
      <c r="D14">
        <v>91.04</v>
      </c>
      <c r="E14">
        <v>89.52</v>
      </c>
      <c r="F14">
        <v>95.38</v>
      </c>
      <c r="G14">
        <v>97.15</v>
      </c>
      <c r="H14">
        <v>92.47</v>
      </c>
      <c r="I14">
        <v>93.8</v>
      </c>
      <c r="J14">
        <v>94.55</v>
      </c>
    </row>
    <row r="15" spans="1:10" x14ac:dyDescent="0.25">
      <c r="A15">
        <v>1.6</v>
      </c>
      <c r="B15">
        <v>84.76</v>
      </c>
      <c r="C15">
        <v>90.75</v>
      </c>
      <c r="D15">
        <v>88.78</v>
      </c>
      <c r="E15">
        <v>86.06</v>
      </c>
      <c r="F15">
        <v>93.05</v>
      </c>
      <c r="G15">
        <v>95.07</v>
      </c>
      <c r="H15">
        <v>88.83</v>
      </c>
      <c r="I15">
        <v>90.4</v>
      </c>
      <c r="J15">
        <v>90.28</v>
      </c>
    </row>
    <row r="16" spans="1:10" x14ac:dyDescent="0.25">
      <c r="A16">
        <v>1.25</v>
      </c>
      <c r="B16">
        <v>82.39</v>
      </c>
      <c r="C16">
        <v>88.13</v>
      </c>
      <c r="D16">
        <v>86.1</v>
      </c>
      <c r="E16">
        <v>82.09</v>
      </c>
      <c r="F16">
        <v>89.51</v>
      </c>
      <c r="G16">
        <v>91.79</v>
      </c>
      <c r="H16">
        <v>84.81</v>
      </c>
      <c r="I16">
        <v>85.45</v>
      </c>
      <c r="J16">
        <v>85.5</v>
      </c>
    </row>
    <row r="17" spans="1:10" x14ac:dyDescent="0.25">
      <c r="A17">
        <v>1</v>
      </c>
      <c r="B17">
        <v>80.16</v>
      </c>
      <c r="C17">
        <v>85.47</v>
      </c>
      <c r="D17">
        <v>83.3</v>
      </c>
      <c r="E17">
        <v>78.67</v>
      </c>
      <c r="F17">
        <v>85.35</v>
      </c>
      <c r="G17">
        <v>87.81</v>
      </c>
      <c r="H17">
        <v>81.03</v>
      </c>
      <c r="I17">
        <v>79.8</v>
      </c>
      <c r="J17">
        <v>79.489999999999995</v>
      </c>
    </row>
    <row r="18" spans="1:10" x14ac:dyDescent="0.25">
      <c r="A18">
        <v>0.8</v>
      </c>
      <c r="B18">
        <v>77.39</v>
      </c>
      <c r="C18">
        <v>82.13</v>
      </c>
      <c r="D18">
        <v>80.08</v>
      </c>
      <c r="E18">
        <v>75.19</v>
      </c>
      <c r="F18">
        <v>79.88</v>
      </c>
      <c r="G18">
        <v>82.63</v>
      </c>
      <c r="H18">
        <v>77.13</v>
      </c>
      <c r="I18">
        <v>70.66</v>
      </c>
      <c r="J18">
        <v>72.16</v>
      </c>
    </row>
    <row r="19" spans="1:10" x14ac:dyDescent="0.25">
      <c r="A19">
        <v>0.63</v>
      </c>
      <c r="B19">
        <v>75.19</v>
      </c>
      <c r="C19">
        <v>80.36</v>
      </c>
      <c r="D19">
        <v>77.88</v>
      </c>
      <c r="E19">
        <v>72.900000000000006</v>
      </c>
      <c r="F19">
        <v>76.14</v>
      </c>
      <c r="G19">
        <v>78.680000000000007</v>
      </c>
      <c r="H19">
        <v>74.91</v>
      </c>
      <c r="I19">
        <v>65.03</v>
      </c>
      <c r="J19">
        <v>66.77</v>
      </c>
    </row>
    <row r="20" spans="1:10" x14ac:dyDescent="0.25">
      <c r="A20">
        <v>0.5</v>
      </c>
      <c r="B20">
        <v>72.8</v>
      </c>
      <c r="C20">
        <v>77.91</v>
      </c>
      <c r="D20">
        <v>75.06</v>
      </c>
      <c r="E20">
        <v>70.84</v>
      </c>
      <c r="F20">
        <v>71.61</v>
      </c>
      <c r="G20">
        <v>73.790000000000006</v>
      </c>
      <c r="H20">
        <v>71.930000000000007</v>
      </c>
      <c r="I20">
        <v>60.08</v>
      </c>
      <c r="J20">
        <v>60.46</v>
      </c>
    </row>
    <row r="21" spans="1:10" x14ac:dyDescent="0.25">
      <c r="A21">
        <v>0.4</v>
      </c>
      <c r="B21">
        <v>70.36</v>
      </c>
      <c r="C21">
        <v>75.209999999999994</v>
      </c>
      <c r="D21">
        <v>71.66</v>
      </c>
      <c r="E21">
        <v>68.72</v>
      </c>
      <c r="F21">
        <v>66.13</v>
      </c>
      <c r="G21">
        <v>67.52</v>
      </c>
      <c r="H21">
        <v>68.89</v>
      </c>
      <c r="I21">
        <v>52.92</v>
      </c>
      <c r="J21">
        <v>54.36</v>
      </c>
    </row>
    <row r="22" spans="1:10" x14ac:dyDescent="0.25">
      <c r="A22">
        <v>0.315</v>
      </c>
      <c r="B22">
        <v>68.5</v>
      </c>
      <c r="C22">
        <v>71.59</v>
      </c>
      <c r="D22">
        <v>67.569999999999993</v>
      </c>
      <c r="E22">
        <v>67.010000000000005</v>
      </c>
      <c r="F22">
        <v>61.65</v>
      </c>
      <c r="G22">
        <v>60.93</v>
      </c>
      <c r="H22">
        <v>65.959999999999994</v>
      </c>
      <c r="I22">
        <v>43.62</v>
      </c>
      <c r="J22">
        <v>46.36</v>
      </c>
    </row>
    <row r="23" spans="1:10" x14ac:dyDescent="0.25">
      <c r="A23">
        <v>0.25</v>
      </c>
      <c r="B23">
        <v>66.540000000000006</v>
      </c>
      <c r="C23">
        <v>69.42</v>
      </c>
      <c r="D23">
        <v>63.64</v>
      </c>
      <c r="E23">
        <v>65.569999999999993</v>
      </c>
      <c r="F23">
        <v>58.26</v>
      </c>
      <c r="G23">
        <v>55.95</v>
      </c>
      <c r="H23">
        <v>63.37</v>
      </c>
      <c r="I23">
        <v>39.5</v>
      </c>
      <c r="J23">
        <v>39.89</v>
      </c>
    </row>
    <row r="24" spans="1:10" x14ac:dyDescent="0.25">
      <c r="A24">
        <v>0.2</v>
      </c>
      <c r="B24">
        <v>64.150000000000006</v>
      </c>
      <c r="C24">
        <v>66.59</v>
      </c>
      <c r="D24">
        <v>58.31</v>
      </c>
      <c r="E24">
        <v>63.84</v>
      </c>
      <c r="F24">
        <v>54.98</v>
      </c>
      <c r="G24">
        <v>50.88</v>
      </c>
      <c r="H24">
        <v>60.73</v>
      </c>
      <c r="I24">
        <v>34.11</v>
      </c>
      <c r="J24">
        <v>34.26</v>
      </c>
    </row>
    <row r="25" spans="1:10" x14ac:dyDescent="0.25">
      <c r="A25">
        <v>0.16</v>
      </c>
      <c r="B25">
        <v>61.99</v>
      </c>
      <c r="C25">
        <v>62.88</v>
      </c>
      <c r="D25">
        <v>53.22</v>
      </c>
      <c r="E25">
        <v>61.94</v>
      </c>
      <c r="F25">
        <v>52.16</v>
      </c>
      <c r="G25">
        <v>47.28</v>
      </c>
      <c r="H25">
        <v>58.24</v>
      </c>
      <c r="I25">
        <v>30.35</v>
      </c>
      <c r="J25">
        <v>30.4</v>
      </c>
    </row>
    <row r="26" spans="1:10" x14ac:dyDescent="0.25">
      <c r="A26">
        <v>0.125</v>
      </c>
      <c r="B26">
        <v>61.11</v>
      </c>
      <c r="C26">
        <v>59.94</v>
      </c>
      <c r="D26">
        <v>49.27</v>
      </c>
      <c r="E26">
        <v>60.01</v>
      </c>
      <c r="F26">
        <v>50.77</v>
      </c>
      <c r="G26">
        <v>43.87</v>
      </c>
      <c r="H26">
        <v>56.21</v>
      </c>
      <c r="I26">
        <v>27.39</v>
      </c>
      <c r="J26">
        <v>28.77</v>
      </c>
    </row>
    <row r="27" spans="1:10" x14ac:dyDescent="0.25">
      <c r="A27">
        <v>0.1</v>
      </c>
      <c r="B27">
        <v>60.08</v>
      </c>
      <c r="C27">
        <v>58.27</v>
      </c>
      <c r="D27">
        <v>46.89</v>
      </c>
      <c r="E27">
        <v>59.2</v>
      </c>
      <c r="F27">
        <v>50.02</v>
      </c>
      <c r="G27">
        <v>42.68</v>
      </c>
      <c r="H27">
        <v>55.34</v>
      </c>
      <c r="I27">
        <v>26.28</v>
      </c>
      <c r="J27">
        <v>26.86</v>
      </c>
    </row>
    <row r="28" spans="1:10" x14ac:dyDescent="0.25">
      <c r="A28">
        <v>0.08</v>
      </c>
      <c r="B28">
        <v>59.69</v>
      </c>
      <c r="C28">
        <v>56.36</v>
      </c>
      <c r="D28">
        <v>44.61</v>
      </c>
      <c r="E28">
        <v>57.93</v>
      </c>
      <c r="F28">
        <v>49.28</v>
      </c>
      <c r="G28">
        <v>40.54</v>
      </c>
      <c r="H28">
        <v>54.12</v>
      </c>
      <c r="I28">
        <v>23.83</v>
      </c>
      <c r="J28">
        <v>26.06</v>
      </c>
    </row>
  </sheetData>
  <hyperlinks>
    <hyperlink ref="B1" r:id="rId1" xr:uid="{AB1704F3-B2D4-4EC2-84FC-E993F65DC050}"/>
    <hyperlink ref="C1" r:id="rId2" xr:uid="{FE45A3B0-7E1B-486A-BB92-B09B94E00771}"/>
    <hyperlink ref="D1" r:id="rId3" xr:uid="{67FDF8E2-7A3E-4DBC-BB99-69B5E9484A74}"/>
    <hyperlink ref="E1" r:id="rId4" xr:uid="{9F1FC167-91D1-457D-B01A-803124369F3F}"/>
    <hyperlink ref="F1" r:id="rId5" xr:uid="{5182541F-B667-4369-963A-9FB86D16022B}"/>
    <hyperlink ref="G1" r:id="rId6" xr:uid="{BD737712-C7E5-4302-A569-E8FF0A5A7A4D}"/>
    <hyperlink ref="H1" r:id="rId7" xr:uid="{7422E116-47BF-497C-A259-C2D9FDFA2C91}"/>
    <hyperlink ref="I1" r:id="rId8" xr:uid="{81BCFE12-1BD1-4225-B62F-4D61165EC061}"/>
    <hyperlink ref="J1" r:id="rId9" xr:uid="{88714707-44D8-4088-A4A2-FBBE4E5280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966-23FA-4723-B704-FE4E8B878F28}">
  <dimension ref="A1:J19"/>
  <sheetViews>
    <sheetView topLeftCell="A10" workbookViewId="0">
      <selection activeCell="H19" sqref="H19"/>
    </sheetView>
  </sheetViews>
  <sheetFormatPr baseColWidth="10" defaultColWidth="9.140625" defaultRowHeight="15" x14ac:dyDescent="0.25"/>
  <cols>
    <col min="1" max="1" width="9.28515625" customWidth="1"/>
    <col min="2" max="4" width="14" bestFit="1" customWidth="1"/>
    <col min="5" max="7" width="10.85546875" bestFit="1" customWidth="1"/>
    <col min="8" max="10" width="17.5703125" bestFit="1" customWidth="1"/>
  </cols>
  <sheetData>
    <row r="1" spans="1:10" x14ac:dyDescent="0.25">
      <c r="A1" s="1" t="s">
        <v>0</v>
      </c>
      <c r="B1" s="7" t="s">
        <v>45</v>
      </c>
      <c r="C1" s="7" t="s">
        <v>46</v>
      </c>
      <c r="D1" s="7" t="s">
        <v>54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</row>
    <row r="2" spans="1:10" x14ac:dyDescent="0.25">
      <c r="A2" s="8">
        <v>6.5000000000000002E-2</v>
      </c>
      <c r="B2">
        <v>55.14</v>
      </c>
      <c r="C2">
        <v>49.48</v>
      </c>
      <c r="D2">
        <v>43.03</v>
      </c>
      <c r="H2">
        <v>52.98</v>
      </c>
    </row>
    <row r="3" spans="1:10" x14ac:dyDescent="0.25">
      <c r="A3" s="8">
        <v>4.7E-2</v>
      </c>
      <c r="B3">
        <v>48</v>
      </c>
      <c r="C3">
        <v>45.01</v>
      </c>
      <c r="D3">
        <v>39.31</v>
      </c>
      <c r="E3" s="10">
        <v>40.93</v>
      </c>
      <c r="F3" s="10">
        <v>40.94</v>
      </c>
      <c r="G3" s="10">
        <v>34.94</v>
      </c>
    </row>
    <row r="4" spans="1:10" x14ac:dyDescent="0.25">
      <c r="A4" s="8">
        <v>3.3000000000000002E-2</v>
      </c>
      <c r="B4">
        <v>46.8</v>
      </c>
      <c r="C4">
        <v>42.78</v>
      </c>
      <c r="D4">
        <v>36.520000000000003</v>
      </c>
      <c r="E4" s="10">
        <v>39.94</v>
      </c>
      <c r="F4" s="10">
        <v>39.950000000000003</v>
      </c>
      <c r="G4" s="10">
        <v>34.090000000000003</v>
      </c>
      <c r="H4" s="10">
        <v>49.69</v>
      </c>
      <c r="I4" s="10">
        <v>17.87</v>
      </c>
      <c r="J4" s="10">
        <v>21.47</v>
      </c>
    </row>
    <row r="5" spans="1:10" x14ac:dyDescent="0.25">
      <c r="A5" s="8">
        <v>2.1000000000000001E-2</v>
      </c>
      <c r="B5">
        <v>46.8</v>
      </c>
      <c r="C5">
        <v>40.54</v>
      </c>
      <c r="D5">
        <v>34.659999999999997</v>
      </c>
      <c r="E5">
        <v>39.94</v>
      </c>
      <c r="F5">
        <v>38.96</v>
      </c>
      <c r="G5">
        <v>30.71</v>
      </c>
    </row>
    <row r="6" spans="1:10" x14ac:dyDescent="0.25">
      <c r="A6" s="8">
        <v>1.4999999999999999E-2</v>
      </c>
      <c r="B6">
        <v>45.61</v>
      </c>
      <c r="C6">
        <v>38.31</v>
      </c>
      <c r="D6">
        <v>31.88</v>
      </c>
      <c r="E6">
        <v>38.950000000000003</v>
      </c>
      <c r="F6">
        <v>37.97</v>
      </c>
      <c r="G6">
        <v>29.01</v>
      </c>
      <c r="H6">
        <v>46.4</v>
      </c>
      <c r="I6">
        <v>15.26</v>
      </c>
      <c r="J6">
        <v>20.41</v>
      </c>
    </row>
    <row r="7" spans="1:10" x14ac:dyDescent="0.25">
      <c r="A7" s="8">
        <v>0.01</v>
      </c>
      <c r="B7">
        <v>45.61</v>
      </c>
      <c r="C7">
        <v>36.08</v>
      </c>
      <c r="D7">
        <v>30.02</v>
      </c>
      <c r="E7">
        <v>37.96</v>
      </c>
      <c r="F7">
        <v>35.99</v>
      </c>
      <c r="G7">
        <v>27.32</v>
      </c>
      <c r="H7">
        <v>45.31</v>
      </c>
      <c r="I7">
        <v>14.22</v>
      </c>
      <c r="J7">
        <v>19.88</v>
      </c>
    </row>
    <row r="8" spans="1:10" x14ac:dyDescent="0.25">
      <c r="A8" s="8">
        <v>7.0000000000000001E-3</v>
      </c>
      <c r="B8">
        <v>44.42</v>
      </c>
      <c r="C8">
        <v>34.96</v>
      </c>
      <c r="D8">
        <v>30.02</v>
      </c>
      <c r="E8">
        <v>37.96</v>
      </c>
      <c r="F8">
        <v>35</v>
      </c>
      <c r="G8">
        <v>25.63</v>
      </c>
      <c r="H8">
        <v>44.21</v>
      </c>
      <c r="I8">
        <v>13.18</v>
      </c>
      <c r="J8">
        <v>19.34</v>
      </c>
    </row>
    <row r="9" spans="1:10" x14ac:dyDescent="0.25">
      <c r="A9" s="8">
        <v>5.0000000000000001E-3</v>
      </c>
      <c r="B9">
        <v>44.42</v>
      </c>
      <c r="C9">
        <v>33.840000000000003</v>
      </c>
      <c r="D9">
        <v>28.16</v>
      </c>
      <c r="E9">
        <v>37.96</v>
      </c>
      <c r="F9">
        <v>34.01</v>
      </c>
      <c r="G9">
        <v>24.79</v>
      </c>
      <c r="H9">
        <v>43.11</v>
      </c>
      <c r="I9">
        <v>12.66</v>
      </c>
      <c r="J9">
        <v>19.34</v>
      </c>
    </row>
    <row r="10" spans="1:10" x14ac:dyDescent="0.25">
      <c r="A10" s="8">
        <v>5.0000000000000001E-3</v>
      </c>
      <c r="B10">
        <v>43.23</v>
      </c>
      <c r="C10">
        <v>32.72</v>
      </c>
      <c r="D10">
        <v>26.3</v>
      </c>
    </row>
    <row r="11" spans="1:10" x14ac:dyDescent="0.25">
      <c r="A11" s="8">
        <v>1.24E-3</v>
      </c>
      <c r="B11">
        <v>42.04</v>
      </c>
      <c r="C11">
        <v>30.49</v>
      </c>
      <c r="D11">
        <v>26.3</v>
      </c>
    </row>
    <row r="12" spans="1:10" s="10" customFormat="1" x14ac:dyDescent="0.25">
      <c r="A12" s="9">
        <v>6.6000000000000003E-2</v>
      </c>
      <c r="E12" s="10">
        <v>43.12</v>
      </c>
      <c r="F12" s="10">
        <v>43.92</v>
      </c>
      <c r="G12" s="10">
        <v>36.78</v>
      </c>
    </row>
    <row r="13" spans="1:10" x14ac:dyDescent="0.25">
      <c r="A13" s="8">
        <v>3.0000000000000001E-3</v>
      </c>
      <c r="B13" s="10"/>
      <c r="C13" s="10"/>
      <c r="D13" s="10"/>
      <c r="E13">
        <v>34.979999999999997</v>
      </c>
      <c r="F13">
        <v>32.020000000000003</v>
      </c>
      <c r="G13">
        <v>23.94</v>
      </c>
      <c r="H13">
        <v>39.82</v>
      </c>
      <c r="I13">
        <v>12.14</v>
      </c>
      <c r="J13">
        <v>18.809999999999999</v>
      </c>
    </row>
    <row r="14" spans="1:10" x14ac:dyDescent="0.25">
      <c r="A14" s="8">
        <v>1.25E-3</v>
      </c>
      <c r="B14" s="10"/>
      <c r="C14" s="10"/>
      <c r="D14" s="10"/>
      <c r="E14">
        <v>33</v>
      </c>
      <c r="F14">
        <v>30.44</v>
      </c>
      <c r="G14">
        <v>21.4</v>
      </c>
      <c r="H14">
        <v>36.53</v>
      </c>
      <c r="I14">
        <v>10.57</v>
      </c>
      <c r="J14">
        <v>18.28</v>
      </c>
    </row>
    <row r="15" spans="1:10" x14ac:dyDescent="0.25">
      <c r="A15" s="8">
        <v>4.5999999999999999E-2</v>
      </c>
      <c r="H15">
        <v>50.79</v>
      </c>
      <c r="I15">
        <v>19.95</v>
      </c>
      <c r="J15">
        <v>22.01</v>
      </c>
    </row>
    <row r="16" spans="1:10" x14ac:dyDescent="0.25">
      <c r="A16" s="8">
        <v>0.02</v>
      </c>
      <c r="H16">
        <v>49.69</v>
      </c>
      <c r="I16">
        <v>15.78</v>
      </c>
      <c r="J16">
        <v>20.94</v>
      </c>
    </row>
    <row r="17" spans="1:1" x14ac:dyDescent="0.25">
      <c r="A17" s="8"/>
    </row>
    <row r="18" spans="1:1" x14ac:dyDescent="0.25">
      <c r="A18" s="8"/>
    </row>
    <row r="19" spans="1:1" x14ac:dyDescent="0.25">
      <c r="A19" s="8"/>
    </row>
  </sheetData>
  <hyperlinks>
    <hyperlink ref="B1" r:id="rId1" xr:uid="{0DB69CFE-795F-413F-A409-B5D2E6011B79}"/>
    <hyperlink ref="C1" r:id="rId2" xr:uid="{7A58C4BE-D955-45EF-B5B4-F3E578F7BE6A}"/>
    <hyperlink ref="D1" r:id="rId3" xr:uid="{80280E3A-A669-4F11-BF3A-71E661D9CA9B}"/>
    <hyperlink ref="E1" r:id="rId4" xr:uid="{05FD8178-0A40-4398-81BF-C1A1A8E0274C}"/>
    <hyperlink ref="F1" r:id="rId5" xr:uid="{5F65FA2C-C757-442D-ABD1-C489401A3140}"/>
    <hyperlink ref="G1" r:id="rId6" xr:uid="{04826FED-F0F4-4455-AC44-14E7CCF2665E}"/>
    <hyperlink ref="J1" r:id="rId7" xr:uid="{080FC9FD-E8ED-41A4-8A32-6A068ADB87AD}"/>
    <hyperlink ref="I1" r:id="rId8" xr:uid="{D1023AF3-1AE0-472E-A039-A874CD6038F6}"/>
    <hyperlink ref="H1" r:id="rId9" xr:uid="{35A02847-BE7A-4FC8-B1C7-9A3DC00F13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05F-9CF5-4281-913C-E8A77AA637CE}">
  <dimension ref="A1:E10"/>
  <sheetViews>
    <sheetView topLeftCell="A4" workbookViewId="0">
      <selection activeCell="A8" sqref="A8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4" t="s">
        <v>30</v>
      </c>
      <c r="B2">
        <v>1</v>
      </c>
      <c r="C2">
        <v>63</v>
      </c>
      <c r="D2">
        <v>24</v>
      </c>
      <c r="E2">
        <v>39</v>
      </c>
    </row>
    <row r="3" spans="1:5" x14ac:dyDescent="0.25">
      <c r="A3" s="4" t="s">
        <v>30</v>
      </c>
      <c r="B3">
        <v>1.5</v>
      </c>
      <c r="C3">
        <v>56</v>
      </c>
      <c r="D3">
        <v>24</v>
      </c>
      <c r="E3">
        <v>32</v>
      </c>
    </row>
    <row r="4" spans="1:5" x14ac:dyDescent="0.25">
      <c r="A4" s="4" t="s">
        <v>30</v>
      </c>
      <c r="B4">
        <v>2</v>
      </c>
      <c r="C4">
        <v>44</v>
      </c>
      <c r="D4">
        <v>23</v>
      </c>
      <c r="E4">
        <v>21</v>
      </c>
    </row>
    <row r="5" spans="1:5" x14ac:dyDescent="0.25">
      <c r="A5" s="4" t="s">
        <v>29</v>
      </c>
      <c r="B5">
        <v>1</v>
      </c>
      <c r="C5">
        <v>69</v>
      </c>
      <c r="D5">
        <v>42</v>
      </c>
      <c r="E5">
        <v>27</v>
      </c>
    </row>
    <row r="6" spans="1:5" x14ac:dyDescent="0.25">
      <c r="A6" s="4" t="s">
        <v>29</v>
      </c>
      <c r="B6">
        <v>1.5</v>
      </c>
      <c r="C6">
        <v>51</v>
      </c>
      <c r="D6" s="6" t="s">
        <v>44</v>
      </c>
      <c r="E6" s="6" t="s">
        <v>44</v>
      </c>
    </row>
    <row r="7" spans="1:5" x14ac:dyDescent="0.25">
      <c r="A7" s="4" t="s">
        <v>29</v>
      </c>
      <c r="B7">
        <v>2</v>
      </c>
      <c r="C7">
        <v>47</v>
      </c>
      <c r="D7" s="6" t="s">
        <v>44</v>
      </c>
      <c r="E7" s="6" t="s">
        <v>44</v>
      </c>
    </row>
    <row r="8" spans="1:5" x14ac:dyDescent="0.25">
      <c r="A8" t="s">
        <v>31</v>
      </c>
      <c r="B8">
        <v>1</v>
      </c>
      <c r="C8">
        <v>67</v>
      </c>
      <c r="D8">
        <v>27</v>
      </c>
      <c r="E8">
        <v>40</v>
      </c>
    </row>
    <row r="9" spans="1:5" x14ac:dyDescent="0.25">
      <c r="A9" t="s">
        <v>31</v>
      </c>
      <c r="B9">
        <v>1.5</v>
      </c>
      <c r="C9">
        <v>40</v>
      </c>
      <c r="D9" s="6" t="s">
        <v>44</v>
      </c>
      <c r="E9" s="6" t="s">
        <v>44</v>
      </c>
    </row>
    <row r="10" spans="1:5" x14ac:dyDescent="0.25">
      <c r="A10" t="s">
        <v>31</v>
      </c>
      <c r="B10">
        <v>2</v>
      </c>
      <c r="C10">
        <v>43</v>
      </c>
      <c r="D10" s="6" t="s">
        <v>44</v>
      </c>
      <c r="E10" s="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E6D1-E56D-4E14-99BA-824197377028}">
  <dimension ref="A1:D10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12.85546875" bestFit="1" customWidth="1"/>
    <col min="3" max="3" width="7.28515625" customWidth="1"/>
    <col min="4" max="4" width="33.140625" bestFit="1" customWidth="1"/>
  </cols>
  <sheetData>
    <row r="1" spans="1:4" x14ac:dyDescent="0.25">
      <c r="A1" s="1" t="s">
        <v>1</v>
      </c>
      <c r="B1" s="1" t="s">
        <v>2</v>
      </c>
      <c r="C1" s="1" t="s">
        <v>6</v>
      </c>
      <c r="D1" s="1" t="s">
        <v>7</v>
      </c>
    </row>
    <row r="2" spans="1:4" x14ac:dyDescent="0.25">
      <c r="A2" t="s">
        <v>30</v>
      </c>
      <c r="B2">
        <v>1</v>
      </c>
      <c r="C2">
        <v>7</v>
      </c>
      <c r="D2" t="s">
        <v>36</v>
      </c>
    </row>
    <row r="3" spans="1:4" x14ac:dyDescent="0.25">
      <c r="A3" t="s">
        <v>30</v>
      </c>
      <c r="B3">
        <v>1.5</v>
      </c>
      <c r="C3">
        <v>6</v>
      </c>
      <c r="D3" t="s">
        <v>36</v>
      </c>
    </row>
    <row r="4" spans="1:4" x14ac:dyDescent="0.25">
      <c r="A4" t="s">
        <v>30</v>
      </c>
      <c r="B4">
        <v>2</v>
      </c>
      <c r="C4">
        <v>5</v>
      </c>
      <c r="D4" t="s">
        <v>8</v>
      </c>
    </row>
    <row r="5" spans="1:4" x14ac:dyDescent="0.25">
      <c r="A5" t="s">
        <v>29</v>
      </c>
      <c r="B5">
        <v>1</v>
      </c>
      <c r="C5">
        <v>6</v>
      </c>
      <c r="D5" t="str">
        <f>D2</f>
        <v>sol argileux</v>
      </c>
    </row>
    <row r="6" spans="1:4" x14ac:dyDescent="0.25">
      <c r="A6" t="s">
        <v>29</v>
      </c>
      <c r="B6">
        <v>1.5</v>
      </c>
      <c r="C6">
        <v>5</v>
      </c>
      <c r="D6" t="s">
        <v>8</v>
      </c>
    </row>
    <row r="7" spans="1:4" x14ac:dyDescent="0.25">
      <c r="A7" t="s">
        <v>29</v>
      </c>
      <c r="B7">
        <v>2</v>
      </c>
      <c r="C7">
        <v>5</v>
      </c>
      <c r="D7" t="s">
        <v>8</v>
      </c>
    </row>
    <row r="8" spans="1:4" x14ac:dyDescent="0.25">
      <c r="A8" t="s">
        <v>31</v>
      </c>
      <c r="B8">
        <v>1</v>
      </c>
      <c r="C8">
        <v>6</v>
      </c>
      <c r="D8" t="str">
        <f>D5</f>
        <v>sol argileux</v>
      </c>
    </row>
    <row r="9" spans="1:4" x14ac:dyDescent="0.25">
      <c r="A9" t="s">
        <v>31</v>
      </c>
      <c r="B9">
        <v>1.5</v>
      </c>
      <c r="C9">
        <v>5</v>
      </c>
      <c r="D9" t="str">
        <f>D7</f>
        <v>sol limoneux de plasticité moyenne</v>
      </c>
    </row>
    <row r="10" spans="1:4" x14ac:dyDescent="0.25">
      <c r="A10" t="s">
        <v>31</v>
      </c>
      <c r="B10">
        <v>2</v>
      </c>
      <c r="C10">
        <v>5</v>
      </c>
      <c r="D10" t="str">
        <f>D7</f>
        <v>sol limoneux de plasticité moyenne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437-A619-4B30-849B-1129F300A6D5}">
  <dimension ref="A1:D10"/>
  <sheetViews>
    <sheetView workbookViewId="0">
      <selection activeCell="D11" sqref="D11"/>
    </sheetView>
  </sheetViews>
  <sheetFormatPr baseColWidth="10" defaultColWidth="9.140625" defaultRowHeight="15" x14ac:dyDescent="0.25"/>
  <cols>
    <col min="1" max="1" width="12.7109375" customWidth="1"/>
    <col min="2" max="2" width="12.28515625" customWidth="1"/>
    <col min="3" max="3" width="12.42578125" customWidth="1"/>
    <col min="4" max="4" width="13.140625" customWidth="1"/>
  </cols>
  <sheetData>
    <row r="1" spans="1:4" x14ac:dyDescent="0.25">
      <c r="A1" s="1" t="s">
        <v>1</v>
      </c>
      <c r="B1" s="1" t="s">
        <v>2</v>
      </c>
      <c r="C1" s="1" t="s">
        <v>9</v>
      </c>
      <c r="D1" s="1" t="s">
        <v>10</v>
      </c>
    </row>
    <row r="2" spans="1:4" x14ac:dyDescent="0.25">
      <c r="A2" t="s">
        <v>30</v>
      </c>
      <c r="B2">
        <v>1</v>
      </c>
      <c r="C2">
        <v>63</v>
      </c>
      <c r="D2">
        <v>7.55</v>
      </c>
    </row>
    <row r="3" spans="1:4" x14ac:dyDescent="0.25">
      <c r="A3" t="s">
        <v>30</v>
      </c>
      <c r="B3">
        <v>1.5</v>
      </c>
      <c r="C3">
        <v>56</v>
      </c>
      <c r="D3">
        <v>6.28</v>
      </c>
    </row>
    <row r="4" spans="1:4" x14ac:dyDescent="0.25">
      <c r="A4" t="s">
        <v>30</v>
      </c>
      <c r="B4">
        <v>2</v>
      </c>
      <c r="C4">
        <v>44</v>
      </c>
      <c r="D4">
        <v>4.28</v>
      </c>
    </row>
    <row r="5" spans="1:4" x14ac:dyDescent="0.25">
      <c r="A5" t="s">
        <v>29</v>
      </c>
      <c r="B5">
        <v>1</v>
      </c>
      <c r="C5">
        <v>69</v>
      </c>
      <c r="D5">
        <v>8.1</v>
      </c>
    </row>
    <row r="6" spans="1:4" x14ac:dyDescent="0.25">
      <c r="A6" t="s">
        <v>29</v>
      </c>
      <c r="B6">
        <v>1.5</v>
      </c>
      <c r="C6">
        <v>51</v>
      </c>
      <c r="D6">
        <v>0.45500000000000002</v>
      </c>
    </row>
    <row r="7" spans="1:4" x14ac:dyDescent="0.25">
      <c r="A7" t="s">
        <v>29</v>
      </c>
      <c r="B7">
        <v>2</v>
      </c>
      <c r="C7">
        <v>47</v>
      </c>
      <c r="D7">
        <v>0.45500000000000002</v>
      </c>
    </row>
    <row r="8" spans="1:4" x14ac:dyDescent="0.25">
      <c r="A8" t="s">
        <v>31</v>
      </c>
      <c r="B8">
        <v>1</v>
      </c>
      <c r="C8">
        <v>67</v>
      </c>
      <c r="D8">
        <v>7.74</v>
      </c>
    </row>
    <row r="9" spans="1:4" x14ac:dyDescent="0.25">
      <c r="A9" t="s">
        <v>31</v>
      </c>
      <c r="B9">
        <v>1.5</v>
      </c>
      <c r="C9">
        <v>40</v>
      </c>
      <c r="D9">
        <v>0.45500000000000002</v>
      </c>
    </row>
    <row r="10" spans="1:4" x14ac:dyDescent="0.25">
      <c r="A10" t="s">
        <v>31</v>
      </c>
      <c r="B10">
        <v>2</v>
      </c>
      <c r="C10">
        <v>43</v>
      </c>
      <c r="D10">
        <v>0.45500000000000002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BF2-5CAC-49A2-AFCE-7DDA17405973}">
  <dimension ref="A1:D10"/>
  <sheetViews>
    <sheetView workbookViewId="0">
      <selection activeCell="G6" sqref="G6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16.5703125" bestFit="1" customWidth="1"/>
    <col min="4" max="4" width="34.5703125" customWidth="1"/>
  </cols>
  <sheetData>
    <row r="1" spans="1:4" x14ac:dyDescent="0.25">
      <c r="A1" s="1" t="s">
        <v>1</v>
      </c>
      <c r="B1" s="1" t="s">
        <v>2</v>
      </c>
      <c r="C1" s="1" t="s">
        <v>11</v>
      </c>
      <c r="D1" s="1" t="s">
        <v>12</v>
      </c>
    </row>
    <row r="2" spans="1:4" x14ac:dyDescent="0.25">
      <c r="A2" t="s">
        <v>30</v>
      </c>
      <c r="B2">
        <v>1</v>
      </c>
      <c r="C2" t="s">
        <v>37</v>
      </c>
      <c r="D2" t="s">
        <v>38</v>
      </c>
    </row>
    <row r="3" spans="1:4" x14ac:dyDescent="0.25">
      <c r="A3" t="s">
        <v>30</v>
      </c>
      <c r="B3">
        <v>1.5</v>
      </c>
      <c r="C3" t="s">
        <v>37</v>
      </c>
      <c r="D3" t="s">
        <v>38</v>
      </c>
    </row>
    <row r="4" spans="1:4" x14ac:dyDescent="0.25">
      <c r="A4" t="s">
        <v>30</v>
      </c>
      <c r="B4">
        <v>2</v>
      </c>
      <c r="C4" t="s">
        <v>37</v>
      </c>
      <c r="D4" t="s">
        <v>13</v>
      </c>
    </row>
    <row r="5" spans="1:4" x14ac:dyDescent="0.25">
      <c r="A5" t="s">
        <v>29</v>
      </c>
      <c r="B5">
        <v>1</v>
      </c>
      <c r="C5" t="s">
        <v>37</v>
      </c>
      <c r="D5" t="s">
        <v>39</v>
      </c>
    </row>
    <row r="6" spans="1:4" x14ac:dyDescent="0.25">
      <c r="A6" t="s">
        <v>29</v>
      </c>
      <c r="B6">
        <v>1.5</v>
      </c>
      <c r="C6" s="5" t="s">
        <v>44</v>
      </c>
      <c r="D6" t="s">
        <v>41</v>
      </c>
    </row>
    <row r="7" spans="1:4" x14ac:dyDescent="0.25">
      <c r="A7" t="s">
        <v>29</v>
      </c>
      <c r="B7">
        <v>2</v>
      </c>
      <c r="C7" s="5" t="s">
        <v>44</v>
      </c>
      <c r="D7" t="s">
        <v>40</v>
      </c>
    </row>
    <row r="8" spans="1:4" x14ac:dyDescent="0.25">
      <c r="A8" t="s">
        <v>31</v>
      </c>
      <c r="B8">
        <v>1</v>
      </c>
      <c r="C8" t="s">
        <v>37</v>
      </c>
      <c r="D8" t="s">
        <v>38</v>
      </c>
    </row>
    <row r="9" spans="1:4" x14ac:dyDescent="0.25">
      <c r="A9" t="s">
        <v>31</v>
      </c>
      <c r="B9">
        <v>1.5</v>
      </c>
      <c r="C9" t="s">
        <v>42</v>
      </c>
      <c r="D9" t="s">
        <v>40</v>
      </c>
    </row>
    <row r="10" spans="1:4" x14ac:dyDescent="0.25">
      <c r="A10" t="s">
        <v>31</v>
      </c>
      <c r="B10">
        <v>2</v>
      </c>
      <c r="C10" t="s">
        <v>43</v>
      </c>
      <c r="D10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F88-9951-44A9-9DEF-0F28384A941A}">
  <dimension ref="A1:I4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19" customWidth="1"/>
    <col min="2" max="2" width="11.5703125" customWidth="1"/>
    <col min="3" max="3" width="7.7109375" bestFit="1" customWidth="1"/>
    <col min="4" max="4" width="26.42578125" bestFit="1" customWidth="1"/>
  </cols>
  <sheetData>
    <row r="1" spans="1:9" x14ac:dyDescent="0.25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25">
      <c r="A2" t="s">
        <v>30</v>
      </c>
      <c r="B2" t="s">
        <v>22</v>
      </c>
      <c r="C2" s="2">
        <v>45108</v>
      </c>
      <c r="D2" t="s">
        <v>33</v>
      </c>
      <c r="I2" t="s">
        <v>32</v>
      </c>
    </row>
    <row r="3" spans="1:9" x14ac:dyDescent="0.25">
      <c r="A3" t="s">
        <v>29</v>
      </c>
      <c r="B3" t="s">
        <v>23</v>
      </c>
      <c r="C3" s="2">
        <v>45108</v>
      </c>
      <c r="D3" t="s">
        <v>33</v>
      </c>
      <c r="I3" t="s">
        <v>32</v>
      </c>
    </row>
    <row r="4" spans="1:9" x14ac:dyDescent="0.25">
      <c r="A4" t="s">
        <v>31</v>
      </c>
      <c r="B4" t="s">
        <v>24</v>
      </c>
      <c r="C4" s="2">
        <v>45108</v>
      </c>
      <c r="D4" t="s">
        <v>33</v>
      </c>
      <c r="I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DB4-04E1-4880-8796-F64698602DF4}">
  <dimension ref="A1:G11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16.28515625" customWidth="1"/>
    <col min="4" max="4" width="10.7109375" bestFit="1" customWidth="1"/>
    <col min="5" max="5" width="11.42578125" bestFit="1" customWidth="1"/>
    <col min="6" max="6" width="16.7109375" bestFit="1" customWidth="1"/>
    <col min="7" max="7" width="8.42578125" bestFit="1" customWidth="1"/>
  </cols>
  <sheetData>
    <row r="1" spans="1:7" x14ac:dyDescent="0.25">
      <c r="A1" s="1" t="s">
        <v>1</v>
      </c>
      <c r="B1" s="1" t="s">
        <v>2</v>
      </c>
      <c r="C1" s="1" t="s">
        <v>15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t="s">
        <v>30</v>
      </c>
      <c r="B2">
        <v>1</v>
      </c>
      <c r="C2" s="3">
        <v>45108</v>
      </c>
      <c r="D2" t="s">
        <v>34</v>
      </c>
      <c r="F2">
        <v>12.27</v>
      </c>
    </row>
    <row r="3" spans="1:7" x14ac:dyDescent="0.25">
      <c r="A3" t="s">
        <v>30</v>
      </c>
      <c r="B3">
        <v>1.5</v>
      </c>
      <c r="C3" s="3">
        <v>45108</v>
      </c>
      <c r="D3" t="s">
        <v>34</v>
      </c>
      <c r="F3">
        <v>13.93</v>
      </c>
    </row>
    <row r="4" spans="1:7" x14ac:dyDescent="0.25">
      <c r="A4" t="s">
        <v>30</v>
      </c>
      <c r="B4">
        <v>2</v>
      </c>
      <c r="C4" s="3">
        <v>45108</v>
      </c>
      <c r="D4" t="s">
        <v>34</v>
      </c>
      <c r="F4">
        <v>12.45</v>
      </c>
    </row>
    <row r="5" spans="1:7" x14ac:dyDescent="0.25">
      <c r="A5" t="s">
        <v>29</v>
      </c>
      <c r="B5">
        <v>1</v>
      </c>
      <c r="C5" s="3">
        <v>45108</v>
      </c>
      <c r="D5" t="s">
        <v>34</v>
      </c>
      <c r="F5">
        <v>15.22</v>
      </c>
    </row>
    <row r="6" spans="1:7" x14ac:dyDescent="0.25">
      <c r="A6" t="s">
        <v>29</v>
      </c>
      <c r="B6">
        <v>1.5</v>
      </c>
      <c r="C6" s="3">
        <v>45108</v>
      </c>
      <c r="D6" t="s">
        <v>34</v>
      </c>
      <c r="F6">
        <v>11.63</v>
      </c>
    </row>
    <row r="7" spans="1:7" x14ac:dyDescent="0.25">
      <c r="A7" t="s">
        <v>29</v>
      </c>
      <c r="B7">
        <v>2</v>
      </c>
      <c r="C7" s="3">
        <v>45108</v>
      </c>
      <c r="D7" t="s">
        <v>34</v>
      </c>
      <c r="F7">
        <v>13.37</v>
      </c>
    </row>
    <row r="8" spans="1:7" x14ac:dyDescent="0.25">
      <c r="A8" t="s">
        <v>31</v>
      </c>
      <c r="B8">
        <v>1</v>
      </c>
      <c r="C8" s="3">
        <v>45108</v>
      </c>
      <c r="D8" t="s">
        <v>34</v>
      </c>
      <c r="F8">
        <v>16.66</v>
      </c>
    </row>
    <row r="9" spans="1:7" x14ac:dyDescent="0.25">
      <c r="A9" t="s">
        <v>31</v>
      </c>
      <c r="B9">
        <v>1.5</v>
      </c>
      <c r="C9" s="3">
        <v>45108</v>
      </c>
      <c r="D9" t="s">
        <v>34</v>
      </c>
      <c r="F9">
        <v>8.41</v>
      </c>
    </row>
    <row r="10" spans="1:7" x14ac:dyDescent="0.25">
      <c r="A10" t="s">
        <v>31</v>
      </c>
      <c r="B10">
        <v>2</v>
      </c>
      <c r="C10" s="3">
        <v>45108</v>
      </c>
      <c r="D10" t="s">
        <v>34</v>
      </c>
      <c r="F10">
        <v>8.89</v>
      </c>
    </row>
    <row r="11" spans="1:7" x14ac:dyDescent="0.25">
      <c r="A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ALATA Toussaint</cp:lastModifiedBy>
  <dcterms:created xsi:type="dcterms:W3CDTF">2025-10-24T21:17:02Z</dcterms:created>
  <dcterms:modified xsi:type="dcterms:W3CDTF">2025-11-15T13:30:00Z</dcterms:modified>
</cp:coreProperties>
</file>